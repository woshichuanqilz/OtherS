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activeTab="4"/>
  </bookViews>
  <sheets>
    <sheet name="Change" sheetId="6" r:id="rId1"/>
    <sheet name="C" sheetId="13" r:id="rId2"/>
    <sheet name="A" sheetId="11" r:id="rId3"/>
    <sheet name="B" sheetId="10" r:id="rId4"/>
    <sheet name="PersonConctrol" sheetId="5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6" l="1"/>
  <c r="C14" i="6"/>
  <c r="D14" i="6"/>
  <c r="E14" i="6"/>
  <c r="F14" i="6"/>
  <c r="G14" i="6"/>
  <c r="H14" i="6"/>
  <c r="I14" i="6"/>
  <c r="J14" i="6"/>
  <c r="K14" i="6"/>
  <c r="L14" i="6"/>
  <c r="M14" i="6"/>
  <c r="N14" i="6"/>
  <c r="O14" i="6"/>
  <c r="P14" i="6"/>
  <c r="Q14" i="6"/>
  <c r="R14" i="6"/>
  <c r="S14" i="6"/>
  <c r="B15" i="6"/>
  <c r="C15" i="6"/>
  <c r="D15" i="6"/>
  <c r="E15" i="6"/>
  <c r="F15" i="6"/>
  <c r="G15" i="6"/>
  <c r="H15" i="6"/>
  <c r="I15" i="6"/>
  <c r="J15" i="6"/>
  <c r="K15" i="6"/>
  <c r="L15" i="6"/>
  <c r="M15" i="6"/>
  <c r="N15" i="6"/>
  <c r="O15" i="6"/>
  <c r="P15" i="6"/>
  <c r="Q15" i="6"/>
  <c r="R15" i="6"/>
  <c r="S15" i="6"/>
  <c r="B16" i="6"/>
  <c r="C16" i="6"/>
  <c r="D16" i="6"/>
  <c r="E16" i="6"/>
  <c r="F16" i="6"/>
  <c r="G16" i="6"/>
  <c r="H16" i="6"/>
  <c r="I16" i="6"/>
  <c r="J16" i="6"/>
  <c r="K16" i="6"/>
  <c r="L16" i="6"/>
  <c r="M16" i="6"/>
  <c r="N16" i="6"/>
  <c r="O16" i="6"/>
  <c r="P16" i="6"/>
  <c r="Q16" i="6"/>
  <c r="R16" i="6"/>
  <c r="S16" i="6"/>
  <c r="B17" i="6"/>
  <c r="C17" i="6"/>
  <c r="D17" i="6"/>
  <c r="E17" i="6"/>
  <c r="F17" i="6"/>
  <c r="G17" i="6"/>
  <c r="H17" i="6"/>
  <c r="I17" i="6"/>
  <c r="J17" i="6"/>
  <c r="K17" i="6"/>
  <c r="L17" i="6"/>
  <c r="M17" i="6"/>
  <c r="N17" i="6"/>
  <c r="O17" i="6"/>
  <c r="P17" i="6"/>
  <c r="Q17" i="6"/>
  <c r="R17" i="6"/>
  <c r="S17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P18" i="6"/>
  <c r="Q18" i="6"/>
  <c r="R18" i="6"/>
  <c r="S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P19" i="6"/>
  <c r="Q19" i="6"/>
  <c r="R19" i="6"/>
  <c r="S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P20" i="6"/>
  <c r="Q20" i="6"/>
  <c r="R20" i="6"/>
  <c r="S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P21" i="6"/>
  <c r="Q21" i="6"/>
  <c r="R21" i="6"/>
  <c r="S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P22" i="6"/>
  <c r="Q22" i="6"/>
  <c r="R22" i="6"/>
  <c r="S22" i="6"/>
  <c r="C13" i="6"/>
  <c r="D13" i="6"/>
  <c r="E13" i="6"/>
  <c r="F13" i="6"/>
  <c r="G13" i="6"/>
  <c r="H13" i="6"/>
  <c r="I13" i="6"/>
  <c r="J13" i="6"/>
  <c r="K13" i="6"/>
  <c r="L13" i="6"/>
  <c r="M13" i="6"/>
  <c r="N13" i="6"/>
  <c r="O13" i="6"/>
  <c r="P13" i="6"/>
  <c r="Q13" i="6"/>
  <c r="R13" i="6"/>
  <c r="S13" i="6"/>
  <c r="B1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P3" i="6"/>
  <c r="Q3" i="6"/>
  <c r="R3" i="6"/>
  <c r="S3" i="6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P5" i="6"/>
  <c r="Q5" i="6"/>
  <c r="R5" i="6"/>
  <c r="S5" i="6"/>
  <c r="B6" i="6"/>
  <c r="C6" i="6"/>
  <c r="D6" i="6"/>
  <c r="E6" i="6"/>
  <c r="F6" i="6"/>
  <c r="G6" i="6"/>
  <c r="H6" i="6"/>
  <c r="I6" i="6"/>
  <c r="J6" i="6"/>
  <c r="K6" i="6"/>
  <c r="L6" i="6"/>
  <c r="M6" i="6"/>
  <c r="N6" i="6"/>
  <c r="O6" i="6"/>
  <c r="P6" i="6"/>
  <c r="Q6" i="6"/>
  <c r="R6" i="6"/>
  <c r="S6" i="6"/>
  <c r="B7" i="6"/>
  <c r="C7" i="6"/>
  <c r="D7" i="6"/>
  <c r="E7" i="6"/>
  <c r="F7" i="6"/>
  <c r="G7" i="6"/>
  <c r="H7" i="6"/>
  <c r="I7" i="6"/>
  <c r="J7" i="6"/>
  <c r="K7" i="6"/>
  <c r="L7" i="6"/>
  <c r="M7" i="6"/>
  <c r="N7" i="6"/>
  <c r="O7" i="6"/>
  <c r="P7" i="6"/>
  <c r="Q7" i="6"/>
  <c r="R7" i="6"/>
  <c r="S7" i="6"/>
  <c r="B8" i="6"/>
  <c r="C8" i="6"/>
  <c r="D8" i="6"/>
  <c r="E8" i="6"/>
  <c r="F8" i="6"/>
  <c r="G8" i="6"/>
  <c r="H8" i="6"/>
  <c r="I8" i="6"/>
  <c r="J8" i="6"/>
  <c r="K8" i="6"/>
  <c r="L8" i="6"/>
  <c r="M8" i="6"/>
  <c r="N8" i="6"/>
  <c r="O8" i="6"/>
  <c r="P8" i="6"/>
  <c r="Q8" i="6"/>
  <c r="R8" i="6"/>
  <c r="S8" i="6"/>
  <c r="B9" i="6"/>
  <c r="C9" i="6"/>
  <c r="D9" i="6"/>
  <c r="E9" i="6"/>
  <c r="F9" i="6"/>
  <c r="G9" i="6"/>
  <c r="H9" i="6"/>
  <c r="I9" i="6"/>
  <c r="J9" i="6"/>
  <c r="K9" i="6"/>
  <c r="L9" i="6"/>
  <c r="M9" i="6"/>
  <c r="N9" i="6"/>
  <c r="O9" i="6"/>
  <c r="P9" i="6"/>
  <c r="Q9" i="6"/>
  <c r="R9" i="6"/>
  <c r="S9" i="6"/>
  <c r="B10" i="6"/>
  <c r="C10" i="6"/>
  <c r="D10" i="6"/>
  <c r="E10" i="6"/>
  <c r="F10" i="6"/>
  <c r="G10" i="6"/>
  <c r="H10" i="6"/>
  <c r="I10" i="6"/>
  <c r="J10" i="6"/>
  <c r="K10" i="6"/>
  <c r="L10" i="6"/>
  <c r="M10" i="6"/>
  <c r="N10" i="6"/>
  <c r="O10" i="6"/>
  <c r="P10" i="6"/>
  <c r="Q10" i="6"/>
  <c r="R10" i="6"/>
  <c r="S10" i="6"/>
  <c r="B11" i="6"/>
  <c r="C11" i="6"/>
  <c r="D11" i="6"/>
  <c r="E11" i="6"/>
  <c r="F11" i="6"/>
  <c r="G11" i="6"/>
  <c r="H11" i="6"/>
  <c r="I11" i="6"/>
  <c r="J11" i="6"/>
  <c r="K11" i="6"/>
  <c r="L11" i="6"/>
  <c r="M11" i="6"/>
  <c r="N11" i="6"/>
  <c r="O11" i="6"/>
  <c r="P11" i="6"/>
  <c r="Q11" i="6"/>
  <c r="R11" i="6"/>
  <c r="S11" i="6"/>
  <c r="C2" i="6"/>
  <c r="D2" i="6"/>
  <c r="E2" i="6"/>
  <c r="F2" i="6"/>
  <c r="G2" i="6"/>
  <c r="H2" i="6"/>
  <c r="I2" i="6"/>
  <c r="J2" i="6"/>
  <c r="K2" i="6"/>
  <c r="L2" i="6"/>
  <c r="M2" i="6"/>
  <c r="N2" i="6"/>
  <c r="O2" i="6"/>
  <c r="P2" i="6"/>
  <c r="Q2" i="6"/>
  <c r="R2" i="6"/>
  <c r="S2" i="6"/>
  <c r="B2" i="6"/>
  <c r="B3" i="13" l="1"/>
  <c r="B4" i="13"/>
  <c r="B5" i="13"/>
  <c r="B6" i="13"/>
  <c r="B7" i="13"/>
  <c r="B8" i="13"/>
  <c r="B9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" i="13"/>
  <c r="B2" i="11" l="1"/>
  <c r="C2" i="11" s="1"/>
  <c r="B3" i="11"/>
  <c r="C3" i="11" s="1"/>
  <c r="B4" i="11"/>
  <c r="C4" i="11" s="1"/>
  <c r="B5" i="11"/>
  <c r="C5" i="11" s="1"/>
  <c r="B6" i="11"/>
  <c r="C6" i="11" s="1"/>
  <c r="B7" i="11"/>
  <c r="C7" i="11" s="1"/>
  <c r="B8" i="11"/>
  <c r="C8" i="11" s="1"/>
  <c r="B9" i="11"/>
  <c r="C9" i="11" s="1"/>
  <c r="B10" i="11"/>
  <c r="C10" i="11" s="1"/>
  <c r="B11" i="11"/>
  <c r="C11" i="11" s="1"/>
  <c r="B12" i="11"/>
  <c r="C12" i="11" s="1"/>
  <c r="B13" i="11"/>
  <c r="C13" i="11" s="1"/>
  <c r="B14" i="11"/>
  <c r="C14" i="11" s="1"/>
  <c r="B15" i="11"/>
  <c r="C15" i="11" s="1"/>
  <c r="B16" i="11"/>
  <c r="C16" i="11" s="1"/>
  <c r="B17" i="11"/>
  <c r="C17" i="11" s="1"/>
  <c r="B18" i="11"/>
  <c r="C18" i="11" s="1"/>
  <c r="B19" i="11"/>
  <c r="C19" i="11" s="1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B41" i="10"/>
  <c r="B40" i="10"/>
  <c r="B39" i="10"/>
  <c r="B38" i="10"/>
  <c r="B37" i="10"/>
  <c r="B36" i="10"/>
  <c r="B35" i="10"/>
  <c r="B34" i="10"/>
  <c r="B33" i="10"/>
  <c r="B32" i="10"/>
  <c r="B31" i="10"/>
  <c r="B30" i="10"/>
  <c r="B29" i="10"/>
  <c r="B28" i="10"/>
  <c r="B27" i="10"/>
  <c r="B26" i="10"/>
  <c r="B25" i="10"/>
  <c r="B24" i="10"/>
  <c r="B23" i="10"/>
  <c r="B22" i="10"/>
  <c r="B21" i="10"/>
  <c r="B20" i="10"/>
  <c r="B19" i="10"/>
  <c r="B18" i="10"/>
  <c r="B17" i="10"/>
  <c r="B16" i="10"/>
  <c r="B15" i="10"/>
  <c r="B14" i="10"/>
  <c r="B13" i="10"/>
  <c r="B12" i="10"/>
  <c r="C11" i="10"/>
  <c r="B11" i="10"/>
  <c r="C10" i="10"/>
  <c r="B10" i="10"/>
  <c r="C9" i="10"/>
  <c r="B9" i="10"/>
  <c r="C8" i="10"/>
  <c r="B8" i="10"/>
  <c r="C7" i="10"/>
  <c r="B7" i="10"/>
  <c r="C6" i="10"/>
  <c r="B6" i="10"/>
  <c r="C5" i="10"/>
  <c r="B5" i="10"/>
  <c r="C4" i="10"/>
  <c r="B4" i="10"/>
  <c r="C3" i="10"/>
  <c r="B3" i="10"/>
  <c r="C2" i="10"/>
  <c r="B2" i="10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9"/>
      <color theme="1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>
      <alignment vertical="center"/>
    </xf>
  </cellStyleXfs>
  <cellXfs count="4">
    <xf numFmtId="0" fontId="0" fillId="0" borderId="0" xfId="0"/>
    <xf numFmtId="0" fontId="3" fillId="0" borderId="0" xfId="0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9" fontId="3" fillId="0" borderId="0" xfId="1" applyFont="1" applyAlignment="1">
      <alignment horizontal="center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areaChart>
        <c:grouping val="standard"/>
        <c:varyColors val="0"/>
        <c:ser>
          <c:idx val="0"/>
          <c:order val="0"/>
          <c:tx>
            <c:strRef>
              <c:f>A!$C$1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A!$A$2:$A$19</c:f>
              <c:numCache>
                <c:formatCode>General</c:formatCode>
                <c:ptCount val="18"/>
                <c:pt idx="0">
                  <c:v>3000</c:v>
                </c:pt>
                <c:pt idx="1">
                  <c:v>2000</c:v>
                </c:pt>
                <c:pt idx="2">
                  <c:v>1500</c:v>
                </c:pt>
                <c:pt idx="3">
                  <c:v>1200</c:v>
                </c:pt>
                <c:pt idx="4">
                  <c:v>1000</c:v>
                </c:pt>
                <c:pt idx="5">
                  <c:v>857</c:v>
                </c:pt>
                <c:pt idx="6">
                  <c:v>750</c:v>
                </c:pt>
                <c:pt idx="7">
                  <c:v>666</c:v>
                </c:pt>
                <c:pt idx="8">
                  <c:v>600</c:v>
                </c:pt>
                <c:pt idx="9">
                  <c:v>500</c:v>
                </c:pt>
                <c:pt idx="10">
                  <c:v>400</c:v>
                </c:pt>
                <c:pt idx="11">
                  <c:v>333</c:v>
                </c:pt>
                <c:pt idx="12">
                  <c:v>300</c:v>
                </c:pt>
                <c:pt idx="13">
                  <c:v>150</c:v>
                </c:pt>
                <c:pt idx="14">
                  <c:v>75</c:v>
                </c:pt>
                <c:pt idx="15">
                  <c:v>60</c:v>
                </c:pt>
                <c:pt idx="16">
                  <c:v>20</c:v>
                </c:pt>
                <c:pt idx="17">
                  <c:v>5</c:v>
                </c:pt>
              </c:numCache>
            </c:numRef>
          </c:cat>
          <c:val>
            <c:numRef>
              <c:f>A!$C$2:$C$19</c:f>
              <c:numCache>
                <c:formatCode>0%</c:formatCode>
                <c:ptCount val="18"/>
                <c:pt idx="0">
                  <c:v>0.30112191469752464</c:v>
                </c:pt>
                <c:pt idx="1">
                  <c:v>0.44925705806008115</c:v>
                </c:pt>
                <c:pt idx="2">
                  <c:v>0.54874576508390893</c:v>
                </c:pt>
                <c:pt idx="3">
                  <c:v>0.61872397560775916</c:v>
                </c:pt>
                <c:pt idx="4">
                  <c:v>0.67026640827366646</c:v>
                </c:pt>
                <c:pt idx="5">
                  <c:v>0.70973147955739557</c:v>
                </c:pt>
                <c:pt idx="6">
                  <c:v>0.74077376106602821</c:v>
                </c:pt>
                <c:pt idx="7">
                  <c:v>0.76609178381089893</c:v>
                </c:pt>
                <c:pt idx="8">
                  <c:v>0.78659009376406419</c:v>
                </c:pt>
                <c:pt idx="9">
                  <c:v>0.81869799576746638</c:v>
                </c:pt>
                <c:pt idx="10">
                  <c:v>0.8521165135277069</c:v>
                </c:pt>
                <c:pt idx="11">
                  <c:v>0.87526669296329263</c:v>
                </c:pt>
                <c:pt idx="12">
                  <c:v>0.8868991452042696</c:v>
                </c:pt>
                <c:pt idx="13">
                  <c:v>0.94175322946314854</c:v>
                </c:pt>
                <c:pt idx="14">
                  <c:v>0.97043970933961077</c:v>
                </c:pt>
                <c:pt idx="15">
                  <c:v>0.97628102234773895</c:v>
                </c:pt>
                <c:pt idx="16">
                  <c:v>0.99203032716387485</c:v>
                </c:pt>
                <c:pt idx="17">
                  <c:v>0.99800159936012833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2E-4783-8EDB-203FA67B9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702147888"/>
        <c:axId val="-702000352"/>
      </c:areaChart>
      <c:catAx>
        <c:axId val="-702147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702000352"/>
        <c:crosses val="autoZero"/>
        <c:auto val="1"/>
        <c:lblAlgn val="ctr"/>
        <c:lblOffset val="100"/>
        <c:noMultiLvlLbl val="0"/>
      </c:catAx>
      <c:valAx>
        <c:axId val="-70200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7021478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B!$B$1</c:f>
              <c:strCache>
                <c:ptCount val="1"/>
                <c:pt idx="0">
                  <c:v>1.18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B!$A$2:$A$41</c:f>
              <c:numCache>
                <c:formatCode>General</c:formatCode>
                <c:ptCount val="40"/>
                <c:pt idx="0">
                  <c:v>1.1000000000000001</c:v>
                </c:pt>
                <c:pt idx="1">
                  <c:v>1.2</c:v>
                </c:pt>
                <c:pt idx="2">
                  <c:v>1.3</c:v>
                </c:pt>
                <c:pt idx="3">
                  <c:v>1.4</c:v>
                </c:pt>
                <c:pt idx="4">
                  <c:v>1.5</c:v>
                </c:pt>
                <c:pt idx="5">
                  <c:v>1.6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2.4</c:v>
                </c:pt>
                <c:pt idx="14">
                  <c:v>2.5</c:v>
                </c:pt>
                <c:pt idx="15">
                  <c:v>2.6</c:v>
                </c:pt>
                <c:pt idx="16">
                  <c:v>2.7</c:v>
                </c:pt>
                <c:pt idx="17">
                  <c:v>2.8</c:v>
                </c:pt>
                <c:pt idx="18">
                  <c:v>2.9</c:v>
                </c:pt>
                <c:pt idx="19">
                  <c:v>3</c:v>
                </c:pt>
                <c:pt idx="20">
                  <c:v>3.1</c:v>
                </c:pt>
                <c:pt idx="21">
                  <c:v>3.2</c:v>
                </c:pt>
                <c:pt idx="22">
                  <c:v>3.3</c:v>
                </c:pt>
                <c:pt idx="23">
                  <c:v>3.4</c:v>
                </c:pt>
                <c:pt idx="24">
                  <c:v>3.5</c:v>
                </c:pt>
                <c:pt idx="25">
                  <c:v>3.6</c:v>
                </c:pt>
                <c:pt idx="26">
                  <c:v>3.7</c:v>
                </c:pt>
                <c:pt idx="27">
                  <c:v>3.8</c:v>
                </c:pt>
                <c:pt idx="28">
                  <c:v>3.9</c:v>
                </c:pt>
                <c:pt idx="29">
                  <c:v>4</c:v>
                </c:pt>
                <c:pt idx="30">
                  <c:v>4.0999999999999996</c:v>
                </c:pt>
                <c:pt idx="31">
                  <c:v>4.2</c:v>
                </c:pt>
                <c:pt idx="32">
                  <c:v>4.3</c:v>
                </c:pt>
                <c:pt idx="33">
                  <c:v>4.4000000000000004</c:v>
                </c:pt>
                <c:pt idx="34">
                  <c:v>4.5</c:v>
                </c:pt>
                <c:pt idx="35">
                  <c:v>4.5999999999999996</c:v>
                </c:pt>
                <c:pt idx="36">
                  <c:v>4.7</c:v>
                </c:pt>
                <c:pt idx="37">
                  <c:v>4.8</c:v>
                </c:pt>
                <c:pt idx="38">
                  <c:v>4.9000000000000004</c:v>
                </c:pt>
                <c:pt idx="39">
                  <c:v>5</c:v>
                </c:pt>
              </c:numCache>
            </c:numRef>
          </c:cat>
          <c:val>
            <c:numRef>
              <c:f>B!$B$2:$B$41</c:f>
              <c:numCache>
                <c:formatCode>General</c:formatCode>
                <c:ptCount val="40"/>
                <c:pt idx="0">
                  <c:v>0.57584208774172385</c:v>
                </c:pt>
                <c:pt idx="1">
                  <c:v>1.1015447260733</c:v>
                </c:pt>
                <c:pt idx="2">
                  <c:v>1.5851442743047495</c:v>
                </c:pt>
                <c:pt idx="3">
                  <c:v>2.032887521572952</c:v>
                </c:pt>
                <c:pt idx="4">
                  <c:v>2.4497265123072851</c:v>
                </c:pt>
                <c:pt idx="5">
                  <c:v>2.8396533472783378</c:v>
                </c:pt>
                <c:pt idx="6">
                  <c:v>3.2059333067433196</c:v>
                </c:pt>
                <c:pt idx="7">
                  <c:v>3.5512712383805853</c:v>
                </c:pt>
                <c:pt idx="8">
                  <c:v>3.877932898641733</c:v>
                </c:pt>
                <c:pt idx="9">
                  <c:v>4.1878351335123218</c:v>
                </c:pt>
                <c:pt idx="10">
                  <c:v>4.4826140338802372</c:v>
                </c:pt>
                <c:pt idx="11">
                  <c:v>4.7636772212540457</c:v>
                </c:pt>
                <c:pt idx="12">
                  <c:v>5.03224450142433</c:v>
                </c:pt>
                <c:pt idx="13">
                  <c:v>5.2893798595856216</c:v>
                </c:pt>
                <c:pt idx="14">
                  <c:v>5.5360169197463067</c:v>
                </c:pt>
                <c:pt idx="15">
                  <c:v>5.7729794078170711</c:v>
                </c:pt>
                <c:pt idx="16">
                  <c:v>6.00099775068787</c:v>
                </c:pt>
                <c:pt idx="17">
                  <c:v>6.2207226550852734</c:v>
                </c:pt>
                <c:pt idx="18">
                  <c:v>6.4327363025594479</c:v>
                </c:pt>
                <c:pt idx="19">
                  <c:v>6.6375616458196074</c:v>
                </c:pt>
                <c:pt idx="20">
                  <c:v>6.835670180184322</c:v>
                </c:pt>
                <c:pt idx="21">
                  <c:v>7.0274884807906597</c:v>
                </c:pt>
                <c:pt idx="22">
                  <c:v>7.2134037335613304</c:v>
                </c:pt>
                <c:pt idx="23">
                  <c:v>7.3937684402556414</c:v>
                </c:pt>
                <c:pt idx="24">
                  <c:v>7.5689044413192592</c:v>
                </c:pt>
                <c:pt idx="25">
                  <c:v>7.7391063718929063</c:v>
                </c:pt>
                <c:pt idx="26">
                  <c:v>7.9046446442039784</c:v>
                </c:pt>
                <c:pt idx="27">
                  <c:v>8.0657680321540539</c:v>
                </c:pt>
                <c:pt idx="28">
                  <c:v>8.2227059201243549</c:v>
                </c:pt>
                <c:pt idx="29">
                  <c:v>8.3756702670246437</c:v>
                </c:pt>
                <c:pt idx="30">
                  <c:v>8.5248573277880304</c:v>
                </c:pt>
                <c:pt idx="31">
                  <c:v>8.6704491673925599</c:v>
                </c:pt>
                <c:pt idx="32">
                  <c:v>8.8126149967101171</c:v>
                </c:pt>
                <c:pt idx="33">
                  <c:v>8.9515123547663684</c:v>
                </c:pt>
                <c:pt idx="34">
                  <c:v>9.0872881581268921</c:v>
                </c:pt>
                <c:pt idx="35">
                  <c:v>9.2200796349366509</c:v>
                </c:pt>
                <c:pt idx="36">
                  <c:v>9.3500151585005238</c:v>
                </c:pt>
                <c:pt idx="37">
                  <c:v>9.4772149930979452</c:v>
                </c:pt>
                <c:pt idx="38">
                  <c:v>9.6017919628922108</c:v>
                </c:pt>
                <c:pt idx="39">
                  <c:v>9.7238520532586286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25-4281-8866-3B4809FDC104}"/>
            </c:ext>
          </c:extLst>
        </c:ser>
        <c:ser>
          <c:idx val="1"/>
          <c:order val="1"/>
          <c:tx>
            <c:strRef>
              <c:f>B!$C$1</c:f>
              <c:strCache>
                <c:ptCount val="1"/>
                <c:pt idx="0">
                  <c:v>3.8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B!$A$2:$A$41</c:f>
              <c:numCache>
                <c:formatCode>General</c:formatCode>
                <c:ptCount val="40"/>
                <c:pt idx="0">
                  <c:v>1.1000000000000001</c:v>
                </c:pt>
                <c:pt idx="1">
                  <c:v>1.2</c:v>
                </c:pt>
                <c:pt idx="2">
                  <c:v>1.3</c:v>
                </c:pt>
                <c:pt idx="3">
                  <c:v>1.4</c:v>
                </c:pt>
                <c:pt idx="4">
                  <c:v>1.5</c:v>
                </c:pt>
                <c:pt idx="5">
                  <c:v>1.6</c:v>
                </c:pt>
                <c:pt idx="6">
                  <c:v>1.7</c:v>
                </c:pt>
                <c:pt idx="7">
                  <c:v>1.8</c:v>
                </c:pt>
                <c:pt idx="8">
                  <c:v>1.9</c:v>
                </c:pt>
                <c:pt idx="9">
                  <c:v>2</c:v>
                </c:pt>
                <c:pt idx="10">
                  <c:v>2.1</c:v>
                </c:pt>
                <c:pt idx="11">
                  <c:v>2.2000000000000002</c:v>
                </c:pt>
                <c:pt idx="12">
                  <c:v>2.2999999999999998</c:v>
                </c:pt>
                <c:pt idx="13">
                  <c:v>2.4</c:v>
                </c:pt>
                <c:pt idx="14">
                  <c:v>2.5</c:v>
                </c:pt>
                <c:pt idx="15">
                  <c:v>2.6</c:v>
                </c:pt>
                <c:pt idx="16">
                  <c:v>2.7</c:v>
                </c:pt>
                <c:pt idx="17">
                  <c:v>2.8</c:v>
                </c:pt>
                <c:pt idx="18">
                  <c:v>2.9</c:v>
                </c:pt>
                <c:pt idx="19">
                  <c:v>3</c:v>
                </c:pt>
                <c:pt idx="20">
                  <c:v>3.1</c:v>
                </c:pt>
                <c:pt idx="21">
                  <c:v>3.2</c:v>
                </c:pt>
                <c:pt idx="22">
                  <c:v>3.3</c:v>
                </c:pt>
                <c:pt idx="23">
                  <c:v>3.4</c:v>
                </c:pt>
                <c:pt idx="24">
                  <c:v>3.5</c:v>
                </c:pt>
                <c:pt idx="25">
                  <c:v>3.6</c:v>
                </c:pt>
                <c:pt idx="26">
                  <c:v>3.7</c:v>
                </c:pt>
                <c:pt idx="27">
                  <c:v>3.8</c:v>
                </c:pt>
                <c:pt idx="28">
                  <c:v>3.9</c:v>
                </c:pt>
                <c:pt idx="29">
                  <c:v>4</c:v>
                </c:pt>
                <c:pt idx="30">
                  <c:v>4.0999999999999996</c:v>
                </c:pt>
                <c:pt idx="31">
                  <c:v>4.2</c:v>
                </c:pt>
                <c:pt idx="32">
                  <c:v>4.3</c:v>
                </c:pt>
                <c:pt idx="33">
                  <c:v>4.4000000000000004</c:v>
                </c:pt>
                <c:pt idx="34">
                  <c:v>4.5</c:v>
                </c:pt>
                <c:pt idx="35">
                  <c:v>4.5999999999999996</c:v>
                </c:pt>
                <c:pt idx="36">
                  <c:v>4.7</c:v>
                </c:pt>
                <c:pt idx="37">
                  <c:v>4.8</c:v>
                </c:pt>
                <c:pt idx="38">
                  <c:v>4.9000000000000004</c:v>
                </c:pt>
                <c:pt idx="39">
                  <c:v>5</c:v>
                </c:pt>
              </c:numCache>
            </c:numRef>
          </c:cat>
          <c:val>
            <c:numRef>
              <c:f>B!$C$2:$C$41</c:f>
              <c:numCache>
                <c:formatCode>General</c:formatCode>
                <c:ptCount val="40"/>
                <c:pt idx="0">
                  <c:v>0.38000000000000034</c:v>
                </c:pt>
                <c:pt idx="1">
                  <c:v>0.75999999999999979</c:v>
                </c:pt>
                <c:pt idx="2">
                  <c:v>1.1400000000000001</c:v>
                </c:pt>
                <c:pt idx="3">
                  <c:v>1.5199999999999996</c:v>
                </c:pt>
                <c:pt idx="4">
                  <c:v>1.9</c:v>
                </c:pt>
                <c:pt idx="5">
                  <c:v>2.2800000000000002</c:v>
                </c:pt>
                <c:pt idx="6">
                  <c:v>2.6599999999999997</c:v>
                </c:pt>
                <c:pt idx="7">
                  <c:v>3.04</c:v>
                </c:pt>
                <c:pt idx="8">
                  <c:v>3.4199999999999995</c:v>
                </c:pt>
                <c:pt idx="9">
                  <c:v>3.8</c:v>
                </c:pt>
                <c:pt idx="10">
                  <c:v>4.18</c:v>
                </c:pt>
                <c:pt idx="11">
                  <c:v>4.5600000000000005</c:v>
                </c:pt>
                <c:pt idx="12">
                  <c:v>4.9399999999999995</c:v>
                </c:pt>
                <c:pt idx="13">
                  <c:v>5.3199999999999994</c:v>
                </c:pt>
                <c:pt idx="14">
                  <c:v>5.6999999999999993</c:v>
                </c:pt>
                <c:pt idx="15">
                  <c:v>6.08</c:v>
                </c:pt>
                <c:pt idx="16">
                  <c:v>6.46</c:v>
                </c:pt>
                <c:pt idx="17">
                  <c:v>6.839999999999999</c:v>
                </c:pt>
                <c:pt idx="18">
                  <c:v>7.22</c:v>
                </c:pt>
                <c:pt idx="19">
                  <c:v>7.6</c:v>
                </c:pt>
                <c:pt idx="20">
                  <c:v>7.9799999999999995</c:v>
                </c:pt>
                <c:pt idx="21">
                  <c:v>8.36</c:v>
                </c:pt>
                <c:pt idx="22">
                  <c:v>8.7399999999999984</c:v>
                </c:pt>
                <c:pt idx="23">
                  <c:v>9.1199999999999992</c:v>
                </c:pt>
                <c:pt idx="24">
                  <c:v>9.5</c:v>
                </c:pt>
                <c:pt idx="25">
                  <c:v>9.879999999999999</c:v>
                </c:pt>
                <c:pt idx="26">
                  <c:v>10.26</c:v>
                </c:pt>
                <c:pt idx="27">
                  <c:v>10.639999999999999</c:v>
                </c:pt>
                <c:pt idx="28">
                  <c:v>11.02</c:v>
                </c:pt>
                <c:pt idx="29">
                  <c:v>11.399999999999999</c:v>
                </c:pt>
                <c:pt idx="30">
                  <c:v>11.779999999999998</c:v>
                </c:pt>
                <c:pt idx="31">
                  <c:v>12.16</c:v>
                </c:pt>
                <c:pt idx="32">
                  <c:v>12.54</c:v>
                </c:pt>
                <c:pt idx="33">
                  <c:v>12.92</c:v>
                </c:pt>
                <c:pt idx="34">
                  <c:v>13.299999999999999</c:v>
                </c:pt>
                <c:pt idx="35">
                  <c:v>13.679999999999998</c:v>
                </c:pt>
                <c:pt idx="36">
                  <c:v>14.06</c:v>
                </c:pt>
                <c:pt idx="37">
                  <c:v>14.44</c:v>
                </c:pt>
                <c:pt idx="38">
                  <c:v>14.82</c:v>
                </c:pt>
                <c:pt idx="39">
                  <c:v>15.2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25-4281-8866-3B4809FDC1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33729328"/>
        <c:axId val="-533726064"/>
      </c:lineChart>
      <c:catAx>
        <c:axId val="-533729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33726064"/>
        <c:crosses val="autoZero"/>
        <c:auto val="1"/>
        <c:lblAlgn val="ctr"/>
        <c:lblOffset val="100"/>
        <c:noMultiLvlLbl val="0"/>
      </c:catAx>
      <c:valAx>
        <c:axId val="-533726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-533729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PersonConctrol!$G$2:$G$100001</c:f>
              <c:numCache>
                <c:formatCode>General</c:formatCode>
                <c:ptCount val="1000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0B-47BF-A47F-A1BE44F90B5B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PersonConctrol!$H$2:$H$100001</c:f>
              <c:numCache>
                <c:formatCode>General</c:formatCode>
                <c:ptCount val="10000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0B-47BF-A47F-A1BE44F90B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945903"/>
        <c:axId val="1971946319"/>
      </c:lineChart>
      <c:catAx>
        <c:axId val="197194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71946319"/>
        <c:crosses val="autoZero"/>
        <c:auto val="1"/>
        <c:lblAlgn val="ctr"/>
        <c:lblOffset val="100"/>
        <c:noMultiLvlLbl val="0"/>
      </c:catAx>
      <c:valAx>
        <c:axId val="197194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7194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PersonConctrol!$L$2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PersonConctrol!$G$3</c:f>
              <c:numCache>
                <c:formatCode>General</c:formatCode>
                <c:ptCount val="1"/>
              </c:numCache>
            </c:numRef>
          </c:cat>
          <c:val>
            <c:numRef>
              <c:f>PersonConctrol!$L$3</c:f>
              <c:numCache>
                <c:formatCode>General</c:formatCode>
                <c:ptCount val="1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56-4D3A-B72B-893E1553AB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1945903"/>
        <c:axId val="1971946319"/>
      </c:lineChart>
      <c:catAx>
        <c:axId val="19719459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71946319"/>
        <c:crosses val="autoZero"/>
        <c:auto val="1"/>
        <c:lblAlgn val="ctr"/>
        <c:lblOffset val="100"/>
        <c:noMultiLvlLbl val="0"/>
      </c:catAx>
      <c:valAx>
        <c:axId val="1971946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9719459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10</xdr:col>
      <xdr:colOff>457200</xdr:colOff>
      <xdr:row>15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0</xdr:rowOff>
    </xdr:from>
    <xdr:to>
      <xdr:col>10</xdr:col>
      <xdr:colOff>476250</xdr:colOff>
      <xdr:row>17</xdr:row>
      <xdr:rowOff>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0</xdr:row>
      <xdr:rowOff>171450</xdr:rowOff>
    </xdr:from>
    <xdr:to>
      <xdr:col>19</xdr:col>
      <xdr:colOff>457200</xdr:colOff>
      <xdr:row>16</xdr:row>
      <xdr:rowOff>19050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18</xdr:row>
      <xdr:rowOff>19050</xdr:rowOff>
    </xdr:from>
    <xdr:to>
      <xdr:col>19</xdr:col>
      <xdr:colOff>476250</xdr:colOff>
      <xdr:row>33</xdr:row>
      <xdr:rowOff>47625</xdr:rowOff>
    </xdr:to>
    <xdr:graphicFrame macro="">
      <xdr:nvGraphicFramePr>
        <xdr:cNvPr id="3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24"/>
  <sheetViews>
    <sheetView workbookViewId="0">
      <selection activeCell="A22" sqref="A22"/>
    </sheetView>
  </sheetViews>
  <sheetFormatPr defaultRowHeight="14.25" x14ac:dyDescent="0.2"/>
  <cols>
    <col min="1" max="1" width="7.625" style="1" bestFit="1" customWidth="1"/>
    <col min="2" max="2" width="5.5" style="2" bestFit="1" customWidth="1"/>
    <col min="3" max="6" width="5" style="1" bestFit="1" customWidth="1"/>
    <col min="7" max="14" width="4.625" style="1" bestFit="1" customWidth="1"/>
    <col min="15" max="15" width="4.125" style="1" bestFit="1" customWidth="1"/>
    <col min="16" max="19" width="3.75" style="1" bestFit="1" customWidth="1"/>
    <col min="20" max="16384" width="9" style="1"/>
  </cols>
  <sheetData>
    <row r="1" spans="1:19" x14ac:dyDescent="0.2">
      <c r="B1" s="1">
        <v>3000</v>
      </c>
      <c r="C1" s="1">
        <v>2000</v>
      </c>
      <c r="D1" s="1">
        <v>1500</v>
      </c>
      <c r="E1" s="1">
        <v>1200</v>
      </c>
      <c r="F1" s="1">
        <v>1000</v>
      </c>
      <c r="G1" s="1">
        <v>857</v>
      </c>
      <c r="H1" s="1">
        <v>750</v>
      </c>
      <c r="I1" s="1">
        <v>666</v>
      </c>
      <c r="J1" s="1">
        <v>600</v>
      </c>
      <c r="K1" s="1">
        <v>500</v>
      </c>
      <c r="L1" s="1">
        <v>400</v>
      </c>
      <c r="M1" s="1">
        <v>333</v>
      </c>
      <c r="N1" s="1">
        <v>300</v>
      </c>
      <c r="O1" s="1">
        <v>150</v>
      </c>
      <c r="P1" s="1">
        <v>75</v>
      </c>
      <c r="Q1" s="1">
        <v>60</v>
      </c>
      <c r="R1" s="1">
        <v>20</v>
      </c>
      <c r="S1" s="1">
        <v>5</v>
      </c>
    </row>
    <row r="2" spans="1:19" x14ac:dyDescent="0.2">
      <c r="A2" s="1">
        <v>50000</v>
      </c>
      <c r="B2" s="3">
        <f>B$1/10000*(1+$A2/500000*3.8)</f>
        <v>0.41399999999999998</v>
      </c>
      <c r="C2" s="3">
        <f t="shared" ref="C2:S11" si="0">C$1/10000*(1+$A2/500000*3.8)</f>
        <v>0.27599999999999997</v>
      </c>
      <c r="D2" s="3">
        <f t="shared" si="0"/>
        <v>0.20699999999999999</v>
      </c>
      <c r="E2" s="3">
        <f t="shared" si="0"/>
        <v>0.16559999999999997</v>
      </c>
      <c r="F2" s="3">
        <f t="shared" si="0"/>
        <v>0.13799999999999998</v>
      </c>
      <c r="G2" s="3">
        <f t="shared" si="0"/>
        <v>0.11826599999999998</v>
      </c>
      <c r="H2" s="3">
        <f t="shared" si="0"/>
        <v>0.10349999999999999</v>
      </c>
      <c r="I2" s="3">
        <f t="shared" si="0"/>
        <v>9.1908000000000004E-2</v>
      </c>
      <c r="J2" s="3">
        <f t="shared" si="0"/>
        <v>8.2799999999999985E-2</v>
      </c>
      <c r="K2" s="3">
        <f t="shared" si="0"/>
        <v>6.8999999999999992E-2</v>
      </c>
      <c r="L2" s="3">
        <f t="shared" si="0"/>
        <v>5.5199999999999999E-2</v>
      </c>
      <c r="M2" s="3">
        <f t="shared" si="0"/>
        <v>4.5954000000000002E-2</v>
      </c>
      <c r="N2" s="3">
        <f t="shared" si="0"/>
        <v>4.1399999999999992E-2</v>
      </c>
      <c r="O2" s="3">
        <f t="shared" si="0"/>
        <v>2.0699999999999996E-2</v>
      </c>
      <c r="P2" s="3">
        <f t="shared" si="0"/>
        <v>1.0349999999999998E-2</v>
      </c>
      <c r="Q2" s="3">
        <f t="shared" si="0"/>
        <v>8.2799999999999992E-3</v>
      </c>
      <c r="R2" s="3">
        <f t="shared" si="0"/>
        <v>2.7599999999999999E-3</v>
      </c>
      <c r="S2" s="3">
        <f t="shared" si="0"/>
        <v>6.8999999999999997E-4</v>
      </c>
    </row>
    <row r="3" spans="1:19" x14ac:dyDescent="0.2">
      <c r="A3" s="1">
        <v>100000</v>
      </c>
      <c r="B3" s="3">
        <f t="shared" ref="B3:B11" si="1">B$1/10000*(1+$A3/500000*3.8)</f>
        <v>0.52800000000000002</v>
      </c>
      <c r="C3" s="3">
        <f t="shared" si="0"/>
        <v>0.35200000000000004</v>
      </c>
      <c r="D3" s="3">
        <f t="shared" si="0"/>
        <v>0.26400000000000001</v>
      </c>
      <c r="E3" s="3">
        <f t="shared" si="0"/>
        <v>0.2112</v>
      </c>
      <c r="F3" s="3">
        <f t="shared" si="0"/>
        <v>0.17600000000000002</v>
      </c>
      <c r="G3" s="3">
        <f t="shared" si="0"/>
        <v>0.15083199999999999</v>
      </c>
      <c r="H3" s="3">
        <f t="shared" si="0"/>
        <v>0.13200000000000001</v>
      </c>
      <c r="I3" s="3">
        <f t="shared" si="0"/>
        <v>0.11721600000000001</v>
      </c>
      <c r="J3" s="3">
        <f t="shared" si="0"/>
        <v>0.1056</v>
      </c>
      <c r="K3" s="3">
        <f t="shared" si="0"/>
        <v>8.8000000000000009E-2</v>
      </c>
      <c r="L3" s="3">
        <f t="shared" si="0"/>
        <v>7.0400000000000004E-2</v>
      </c>
      <c r="M3" s="3">
        <f t="shared" si="0"/>
        <v>5.8608000000000007E-2</v>
      </c>
      <c r="N3" s="3">
        <f t="shared" si="0"/>
        <v>5.28E-2</v>
      </c>
      <c r="O3" s="3">
        <f t="shared" si="0"/>
        <v>2.64E-2</v>
      </c>
      <c r="P3" s="3">
        <f t="shared" si="0"/>
        <v>1.32E-2</v>
      </c>
      <c r="Q3" s="3">
        <f t="shared" si="0"/>
        <v>1.056E-2</v>
      </c>
      <c r="R3" s="3">
        <f t="shared" si="0"/>
        <v>3.5200000000000001E-3</v>
      </c>
      <c r="S3" s="3">
        <f t="shared" si="0"/>
        <v>8.8000000000000003E-4</v>
      </c>
    </row>
    <row r="4" spans="1:19" x14ac:dyDescent="0.2">
      <c r="A4" s="1">
        <v>150000</v>
      </c>
      <c r="B4" s="3">
        <f t="shared" si="1"/>
        <v>0.6419999999999999</v>
      </c>
      <c r="C4" s="3">
        <f t="shared" si="0"/>
        <v>0.42799999999999994</v>
      </c>
      <c r="D4" s="3">
        <f t="shared" si="0"/>
        <v>0.32099999999999995</v>
      </c>
      <c r="E4" s="3">
        <f t="shared" si="0"/>
        <v>0.25679999999999997</v>
      </c>
      <c r="F4" s="3">
        <f t="shared" si="0"/>
        <v>0.21399999999999997</v>
      </c>
      <c r="G4" s="3">
        <f t="shared" si="0"/>
        <v>0.18339799999999998</v>
      </c>
      <c r="H4" s="3">
        <f t="shared" si="0"/>
        <v>0.16049999999999998</v>
      </c>
      <c r="I4" s="3">
        <f t="shared" si="0"/>
        <v>0.14252399999999998</v>
      </c>
      <c r="J4" s="3">
        <f t="shared" si="0"/>
        <v>0.12839999999999999</v>
      </c>
      <c r="K4" s="3">
        <f t="shared" si="0"/>
        <v>0.10699999999999998</v>
      </c>
      <c r="L4" s="3">
        <f t="shared" si="0"/>
        <v>8.5599999999999996E-2</v>
      </c>
      <c r="M4" s="3">
        <f t="shared" si="0"/>
        <v>7.1261999999999992E-2</v>
      </c>
      <c r="N4" s="3">
        <f t="shared" si="0"/>
        <v>6.4199999999999993E-2</v>
      </c>
      <c r="O4" s="3">
        <f t="shared" si="0"/>
        <v>3.2099999999999997E-2</v>
      </c>
      <c r="P4" s="3">
        <f t="shared" si="0"/>
        <v>1.6049999999999998E-2</v>
      </c>
      <c r="Q4" s="3">
        <f t="shared" si="0"/>
        <v>1.2839999999999999E-2</v>
      </c>
      <c r="R4" s="3">
        <f t="shared" si="0"/>
        <v>4.2799999999999991E-3</v>
      </c>
      <c r="S4" s="3">
        <f t="shared" si="0"/>
        <v>1.0699999999999998E-3</v>
      </c>
    </row>
    <row r="5" spans="1:19" x14ac:dyDescent="0.2">
      <c r="A5" s="1">
        <v>200000</v>
      </c>
      <c r="B5" s="3">
        <f t="shared" si="1"/>
        <v>0.75600000000000001</v>
      </c>
      <c r="C5" s="3">
        <f t="shared" si="0"/>
        <v>0.504</v>
      </c>
      <c r="D5" s="3">
        <f t="shared" si="0"/>
        <v>0.378</v>
      </c>
      <c r="E5" s="3">
        <f t="shared" si="0"/>
        <v>0.3024</v>
      </c>
      <c r="F5" s="3">
        <f t="shared" si="0"/>
        <v>0.252</v>
      </c>
      <c r="G5" s="3">
        <f t="shared" si="0"/>
        <v>0.21596399999999999</v>
      </c>
      <c r="H5" s="3">
        <f t="shared" si="0"/>
        <v>0.189</v>
      </c>
      <c r="I5" s="3">
        <f t="shared" si="0"/>
        <v>0.16783200000000001</v>
      </c>
      <c r="J5" s="3">
        <f t="shared" si="0"/>
        <v>0.1512</v>
      </c>
      <c r="K5" s="3">
        <f t="shared" si="0"/>
        <v>0.126</v>
      </c>
      <c r="L5" s="3">
        <f t="shared" si="0"/>
        <v>0.1008</v>
      </c>
      <c r="M5" s="3">
        <f t="shared" si="0"/>
        <v>8.3916000000000004E-2</v>
      </c>
      <c r="N5" s="3">
        <f t="shared" si="0"/>
        <v>7.5600000000000001E-2</v>
      </c>
      <c r="O5" s="3">
        <f t="shared" si="0"/>
        <v>3.78E-2</v>
      </c>
      <c r="P5" s="3">
        <f t="shared" si="0"/>
        <v>1.89E-2</v>
      </c>
      <c r="Q5" s="3">
        <f t="shared" si="0"/>
        <v>1.512E-2</v>
      </c>
      <c r="R5" s="3">
        <f t="shared" si="0"/>
        <v>5.0400000000000002E-3</v>
      </c>
      <c r="S5" s="3">
        <f t="shared" si="0"/>
        <v>1.2600000000000001E-3</v>
      </c>
    </row>
    <row r="6" spans="1:19" x14ac:dyDescent="0.2">
      <c r="A6" s="1">
        <v>250000</v>
      </c>
      <c r="B6" s="3">
        <f t="shared" si="1"/>
        <v>0.87</v>
      </c>
      <c r="C6" s="3">
        <f t="shared" si="0"/>
        <v>0.57999999999999996</v>
      </c>
      <c r="D6" s="3">
        <f t="shared" si="0"/>
        <v>0.435</v>
      </c>
      <c r="E6" s="3">
        <f t="shared" si="0"/>
        <v>0.34799999999999998</v>
      </c>
      <c r="F6" s="3">
        <f t="shared" si="0"/>
        <v>0.28999999999999998</v>
      </c>
      <c r="G6" s="3">
        <f t="shared" si="0"/>
        <v>0.24853</v>
      </c>
      <c r="H6" s="3">
        <f t="shared" si="0"/>
        <v>0.2175</v>
      </c>
      <c r="I6" s="3">
        <f t="shared" si="0"/>
        <v>0.19314000000000001</v>
      </c>
      <c r="J6" s="3">
        <f t="shared" si="0"/>
        <v>0.17399999999999999</v>
      </c>
      <c r="K6" s="3">
        <f t="shared" si="0"/>
        <v>0.14499999999999999</v>
      </c>
      <c r="L6" s="3">
        <f t="shared" si="0"/>
        <v>0.11599999999999999</v>
      </c>
      <c r="M6" s="3">
        <f t="shared" si="0"/>
        <v>9.6570000000000003E-2</v>
      </c>
      <c r="N6" s="3">
        <f t="shared" si="0"/>
        <v>8.6999999999999994E-2</v>
      </c>
      <c r="O6" s="3">
        <f t="shared" si="0"/>
        <v>4.3499999999999997E-2</v>
      </c>
      <c r="P6" s="3">
        <f t="shared" si="0"/>
        <v>2.1749999999999999E-2</v>
      </c>
      <c r="Q6" s="3">
        <f t="shared" si="0"/>
        <v>1.7399999999999999E-2</v>
      </c>
      <c r="R6" s="3">
        <f t="shared" si="0"/>
        <v>5.7999999999999996E-3</v>
      </c>
      <c r="S6" s="3">
        <f t="shared" si="0"/>
        <v>1.4499999999999999E-3</v>
      </c>
    </row>
    <row r="7" spans="1:19" x14ac:dyDescent="0.2">
      <c r="A7" s="1">
        <v>300000</v>
      </c>
      <c r="B7" s="3">
        <f t="shared" si="1"/>
        <v>0.98399999999999987</v>
      </c>
      <c r="C7" s="3">
        <f t="shared" si="0"/>
        <v>0.65600000000000003</v>
      </c>
      <c r="D7" s="3">
        <f t="shared" si="0"/>
        <v>0.49199999999999994</v>
      </c>
      <c r="E7" s="3">
        <f t="shared" si="0"/>
        <v>0.39359999999999995</v>
      </c>
      <c r="F7" s="3">
        <f t="shared" si="0"/>
        <v>0.32800000000000001</v>
      </c>
      <c r="G7" s="3">
        <f t="shared" si="0"/>
        <v>0.28109599999999996</v>
      </c>
      <c r="H7" s="3">
        <f t="shared" si="0"/>
        <v>0.24599999999999997</v>
      </c>
      <c r="I7" s="3">
        <f t="shared" si="0"/>
        <v>0.218448</v>
      </c>
      <c r="J7" s="3">
        <f t="shared" si="0"/>
        <v>0.19679999999999997</v>
      </c>
      <c r="K7" s="3">
        <f t="shared" si="0"/>
        <v>0.16400000000000001</v>
      </c>
      <c r="L7" s="3">
        <f t="shared" si="0"/>
        <v>0.13119999999999998</v>
      </c>
      <c r="M7" s="3">
        <f t="shared" si="0"/>
        <v>0.109224</v>
      </c>
      <c r="N7" s="3">
        <f t="shared" si="0"/>
        <v>9.8399999999999987E-2</v>
      </c>
      <c r="O7" s="3">
        <f t="shared" si="0"/>
        <v>4.9199999999999994E-2</v>
      </c>
      <c r="P7" s="3">
        <f t="shared" si="0"/>
        <v>2.4599999999999997E-2</v>
      </c>
      <c r="Q7" s="3">
        <f t="shared" si="0"/>
        <v>1.968E-2</v>
      </c>
      <c r="R7" s="3">
        <f t="shared" si="0"/>
        <v>6.5599999999999999E-3</v>
      </c>
      <c r="S7" s="3">
        <f t="shared" si="0"/>
        <v>1.64E-3</v>
      </c>
    </row>
    <row r="8" spans="1:19" x14ac:dyDescent="0.2">
      <c r="A8" s="1">
        <v>350000</v>
      </c>
      <c r="B8" s="3">
        <f t="shared" si="1"/>
        <v>1.0979999999999999</v>
      </c>
      <c r="C8" s="3">
        <f t="shared" si="0"/>
        <v>0.73199999999999998</v>
      </c>
      <c r="D8" s="3">
        <f t="shared" si="0"/>
        <v>0.54899999999999993</v>
      </c>
      <c r="E8" s="3">
        <f t="shared" si="0"/>
        <v>0.43919999999999992</v>
      </c>
      <c r="F8" s="3">
        <f t="shared" si="0"/>
        <v>0.36599999999999999</v>
      </c>
      <c r="G8" s="3">
        <f t="shared" si="0"/>
        <v>0.31366199999999994</v>
      </c>
      <c r="H8" s="3">
        <f t="shared" si="0"/>
        <v>0.27449999999999997</v>
      </c>
      <c r="I8" s="3">
        <f t="shared" si="0"/>
        <v>0.243756</v>
      </c>
      <c r="J8" s="3">
        <f t="shared" si="0"/>
        <v>0.21959999999999996</v>
      </c>
      <c r="K8" s="3">
        <f t="shared" si="0"/>
        <v>0.183</v>
      </c>
      <c r="L8" s="3">
        <f t="shared" si="0"/>
        <v>0.1464</v>
      </c>
      <c r="M8" s="3">
        <f t="shared" si="0"/>
        <v>0.121878</v>
      </c>
      <c r="N8" s="3">
        <f t="shared" si="0"/>
        <v>0.10979999999999998</v>
      </c>
      <c r="O8" s="3">
        <f t="shared" si="0"/>
        <v>5.489999999999999E-2</v>
      </c>
      <c r="P8" s="3">
        <f t="shared" si="0"/>
        <v>2.7449999999999995E-2</v>
      </c>
      <c r="Q8" s="3">
        <f t="shared" si="0"/>
        <v>2.196E-2</v>
      </c>
      <c r="R8" s="3">
        <f t="shared" si="0"/>
        <v>7.3199999999999993E-3</v>
      </c>
      <c r="S8" s="3">
        <f t="shared" si="0"/>
        <v>1.8299999999999998E-3</v>
      </c>
    </row>
    <row r="9" spans="1:19" x14ac:dyDescent="0.2">
      <c r="A9" s="1">
        <v>400000</v>
      </c>
      <c r="B9" s="3">
        <f t="shared" si="1"/>
        <v>1.212</v>
      </c>
      <c r="C9" s="3">
        <f t="shared" si="0"/>
        <v>0.80800000000000005</v>
      </c>
      <c r="D9" s="3">
        <f t="shared" si="0"/>
        <v>0.60599999999999998</v>
      </c>
      <c r="E9" s="3">
        <f t="shared" si="0"/>
        <v>0.48480000000000001</v>
      </c>
      <c r="F9" s="3">
        <f t="shared" si="0"/>
        <v>0.40400000000000003</v>
      </c>
      <c r="G9" s="3">
        <f t="shared" si="0"/>
        <v>0.34622799999999998</v>
      </c>
      <c r="H9" s="3">
        <f t="shared" si="0"/>
        <v>0.30299999999999999</v>
      </c>
      <c r="I9" s="3">
        <f t="shared" si="0"/>
        <v>0.26906400000000003</v>
      </c>
      <c r="J9" s="3">
        <f t="shared" si="0"/>
        <v>0.2424</v>
      </c>
      <c r="K9" s="3">
        <f t="shared" si="0"/>
        <v>0.20200000000000001</v>
      </c>
      <c r="L9" s="3">
        <f t="shared" si="0"/>
        <v>0.16159999999999999</v>
      </c>
      <c r="M9" s="3">
        <f t="shared" si="0"/>
        <v>0.13453200000000001</v>
      </c>
      <c r="N9" s="3">
        <f t="shared" si="0"/>
        <v>0.1212</v>
      </c>
      <c r="O9" s="3">
        <f t="shared" si="0"/>
        <v>6.0600000000000001E-2</v>
      </c>
      <c r="P9" s="3">
        <f t="shared" si="0"/>
        <v>3.0300000000000001E-2</v>
      </c>
      <c r="Q9" s="3">
        <f t="shared" si="0"/>
        <v>2.4240000000000001E-2</v>
      </c>
      <c r="R9" s="3">
        <f t="shared" si="0"/>
        <v>8.0800000000000004E-3</v>
      </c>
      <c r="S9" s="3">
        <f t="shared" si="0"/>
        <v>2.0200000000000001E-3</v>
      </c>
    </row>
    <row r="10" spans="1:19" x14ac:dyDescent="0.2">
      <c r="A10" s="1">
        <v>450000</v>
      </c>
      <c r="B10" s="3">
        <f t="shared" si="1"/>
        <v>1.3259999999999998</v>
      </c>
      <c r="C10" s="3">
        <f t="shared" si="0"/>
        <v>0.88400000000000001</v>
      </c>
      <c r="D10" s="3">
        <f t="shared" si="0"/>
        <v>0.66299999999999992</v>
      </c>
      <c r="E10" s="3">
        <f t="shared" si="0"/>
        <v>0.53039999999999998</v>
      </c>
      <c r="F10" s="3">
        <f t="shared" si="0"/>
        <v>0.442</v>
      </c>
      <c r="G10" s="3">
        <f t="shared" si="0"/>
        <v>0.37879399999999996</v>
      </c>
      <c r="H10" s="3">
        <f t="shared" si="0"/>
        <v>0.33149999999999996</v>
      </c>
      <c r="I10" s="3">
        <f t="shared" si="0"/>
        <v>0.29437200000000002</v>
      </c>
      <c r="J10" s="3">
        <f t="shared" si="0"/>
        <v>0.26519999999999999</v>
      </c>
      <c r="K10" s="3">
        <f t="shared" si="0"/>
        <v>0.221</v>
      </c>
      <c r="L10" s="3">
        <f t="shared" si="0"/>
        <v>0.17680000000000001</v>
      </c>
      <c r="M10" s="3">
        <f t="shared" si="0"/>
        <v>0.14718600000000001</v>
      </c>
      <c r="N10" s="3">
        <f t="shared" si="0"/>
        <v>0.1326</v>
      </c>
      <c r="O10" s="3">
        <f t="shared" si="0"/>
        <v>6.6299999999999998E-2</v>
      </c>
      <c r="P10" s="3">
        <f t="shared" si="0"/>
        <v>3.3149999999999999E-2</v>
      </c>
      <c r="Q10" s="3">
        <f t="shared" si="0"/>
        <v>2.6519999999999998E-2</v>
      </c>
      <c r="R10" s="3">
        <f t="shared" si="0"/>
        <v>8.8400000000000006E-3</v>
      </c>
      <c r="S10" s="3">
        <f t="shared" si="0"/>
        <v>2.2100000000000002E-3</v>
      </c>
    </row>
    <row r="11" spans="1:19" x14ac:dyDescent="0.2">
      <c r="A11" s="1">
        <v>500000</v>
      </c>
      <c r="B11" s="3">
        <f t="shared" si="1"/>
        <v>1.44</v>
      </c>
      <c r="C11" s="3">
        <f t="shared" si="0"/>
        <v>0.96</v>
      </c>
      <c r="D11" s="3">
        <f t="shared" si="0"/>
        <v>0.72</v>
      </c>
      <c r="E11" s="3">
        <f t="shared" si="0"/>
        <v>0.57599999999999996</v>
      </c>
      <c r="F11" s="3">
        <f t="shared" si="0"/>
        <v>0.48</v>
      </c>
      <c r="G11" s="3">
        <f t="shared" si="0"/>
        <v>0.41136</v>
      </c>
      <c r="H11" s="3">
        <f t="shared" si="0"/>
        <v>0.36</v>
      </c>
      <c r="I11" s="3">
        <f t="shared" si="0"/>
        <v>0.31968000000000002</v>
      </c>
      <c r="J11" s="3">
        <f t="shared" si="0"/>
        <v>0.28799999999999998</v>
      </c>
      <c r="K11" s="3">
        <f t="shared" si="0"/>
        <v>0.24</v>
      </c>
      <c r="L11" s="3">
        <f t="shared" si="0"/>
        <v>0.192</v>
      </c>
      <c r="M11" s="3">
        <f t="shared" si="0"/>
        <v>0.15984000000000001</v>
      </c>
      <c r="N11" s="3">
        <f t="shared" si="0"/>
        <v>0.14399999999999999</v>
      </c>
      <c r="O11" s="3">
        <f t="shared" si="0"/>
        <v>7.1999999999999995E-2</v>
      </c>
      <c r="P11" s="3">
        <f t="shared" si="0"/>
        <v>3.5999999999999997E-2</v>
      </c>
      <c r="Q11" s="3">
        <f t="shared" si="0"/>
        <v>2.8799999999999999E-2</v>
      </c>
      <c r="R11" s="3">
        <f t="shared" si="0"/>
        <v>9.5999999999999992E-3</v>
      </c>
      <c r="S11" s="3">
        <f t="shared" si="0"/>
        <v>2.3999999999999998E-3</v>
      </c>
    </row>
    <row r="12" spans="1:19" x14ac:dyDescent="0.2">
      <c r="B12" s="1"/>
      <c r="C12" s="2"/>
    </row>
    <row r="13" spans="1:19" x14ac:dyDescent="0.2">
      <c r="A13" s="1">
        <v>50000</v>
      </c>
      <c r="B13" s="3">
        <f>B$1*(1+POWER(0.9996,B$1)*LOG(1+$A13/1000000,1.18))/10000</f>
        <v>0.32662931606736528</v>
      </c>
      <c r="C13" s="3">
        <f t="shared" ref="C13:S22" si="2">C$1*(1+POWER(0.9996,C$1)*LOG(1+$A13/1000000,1.18))/10000</f>
        <v>0.22648630031149511</v>
      </c>
      <c r="D13" s="3">
        <f t="shared" si="2"/>
        <v>0.17426380098194777</v>
      </c>
      <c r="E13" s="3">
        <f t="shared" si="2"/>
        <v>0.14188641277931041</v>
      </c>
      <c r="F13" s="3">
        <f t="shared" si="2"/>
        <v>0.11975803947844636</v>
      </c>
      <c r="G13" s="3">
        <f t="shared" si="2"/>
        <v>0.10362962823910622</v>
      </c>
      <c r="H13" s="3">
        <f t="shared" si="2"/>
        <v>9.1377335603133658E-2</v>
      </c>
      <c r="I13" s="3">
        <f t="shared" si="2"/>
        <v>8.1640124394603927E-2</v>
      </c>
      <c r="J13" s="3">
        <f t="shared" si="2"/>
        <v>7.391220977280398E-2</v>
      </c>
      <c r="K13" s="3">
        <f t="shared" si="2"/>
        <v>6.2066744746287497E-2</v>
      </c>
      <c r="L13" s="3">
        <f t="shared" si="2"/>
        <v>5.0047438753721578E-2</v>
      </c>
      <c r="M13" s="3">
        <f t="shared" si="2"/>
        <v>4.1891738104236693E-2</v>
      </c>
      <c r="N13" s="3">
        <f t="shared" si="2"/>
        <v>3.7843174642816765E-2</v>
      </c>
      <c r="O13" s="3">
        <f t="shared" si="2"/>
        <v>1.9164134720986201E-2</v>
      </c>
      <c r="P13" s="3">
        <f t="shared" si="2"/>
        <v>9.6454886279436734E-3</v>
      </c>
      <c r="Q13" s="3">
        <f t="shared" si="2"/>
        <v>7.7267222773063846E-3</v>
      </c>
      <c r="R13" s="3">
        <f t="shared" si="2"/>
        <v>2.5848592179459808E-3</v>
      </c>
      <c r="S13" s="3">
        <f t="shared" si="2"/>
        <v>6.4709490701239962E-4</v>
      </c>
    </row>
    <row r="14" spans="1:19" x14ac:dyDescent="0.2">
      <c r="A14" s="1">
        <v>100000</v>
      </c>
      <c r="B14" s="3">
        <f t="shared" ref="B14:B22" si="3">B$1*(1+POWER(0.9996,B$1)*LOG(1+$A14/1000000,1.18))/10000</f>
        <v>0.35201960160726237</v>
      </c>
      <c r="C14" s="3">
        <f t="shared" si="2"/>
        <v>0.25174022444920441</v>
      </c>
      <c r="D14" s="3">
        <f t="shared" si="2"/>
        <v>0.19739863605080216</v>
      </c>
      <c r="E14" s="3">
        <f t="shared" si="2"/>
        <v>0.16275447670197976</v>
      </c>
      <c r="F14" s="3">
        <f t="shared" si="2"/>
        <v>0.13859676078834546</v>
      </c>
      <c r="G14" s="3">
        <f t="shared" si="2"/>
        <v>0.12072501211841709</v>
      </c>
      <c r="H14" s="3">
        <f t="shared" si="2"/>
        <v>0.10699265318374129</v>
      </c>
      <c r="I14" s="3">
        <f t="shared" si="2"/>
        <v>9.5980449619950531E-2</v>
      </c>
      <c r="J14" s="3">
        <f t="shared" si="2"/>
        <v>8.7177100907403424E-2</v>
      </c>
      <c r="K14" s="3">
        <f t="shared" si="2"/>
        <v>7.3572038155635136E-2</v>
      </c>
      <c r="L14" s="3">
        <f t="shared" si="2"/>
        <v>5.9627382085959746E-2</v>
      </c>
      <c r="M14" s="3">
        <f t="shared" si="2"/>
        <v>5.0083712813565669E-2</v>
      </c>
      <c r="N14" s="3">
        <f t="shared" si="2"/>
        <v>4.5321415661723305E-2</v>
      </c>
      <c r="O14" s="3">
        <f t="shared" si="2"/>
        <v>2.3134517186873552E-2</v>
      </c>
      <c r="P14" s="3">
        <f t="shared" si="2"/>
        <v>1.1691150211901948E-2</v>
      </c>
      <c r="Q14" s="3">
        <f t="shared" si="2"/>
        <v>9.3731022127880783E-3</v>
      </c>
      <c r="R14" s="3">
        <f t="shared" si="2"/>
        <v>3.1425056293943017E-3</v>
      </c>
      <c r="S14" s="3">
        <f t="shared" si="2"/>
        <v>7.8734566227255782E-4</v>
      </c>
    </row>
    <row r="15" spans="1:19" x14ac:dyDescent="0.2">
      <c r="A15" s="1">
        <v>150000</v>
      </c>
      <c r="B15" s="3">
        <f t="shared" si="3"/>
        <v>0.37628104969625709</v>
      </c>
      <c r="C15" s="3">
        <f t="shared" si="2"/>
        <v>0.27587137368530429</v>
      </c>
      <c r="D15" s="3">
        <f t="shared" si="2"/>
        <v>0.21950490969583425</v>
      </c>
      <c r="E15" s="3">
        <f t="shared" si="2"/>
        <v>0.18269475853859429</v>
      </c>
      <c r="F15" s="3">
        <f t="shared" si="2"/>
        <v>0.15659792341430187</v>
      </c>
      <c r="G15" s="3">
        <f t="shared" si="2"/>
        <v>0.13706034509045495</v>
      </c>
      <c r="H15" s="3">
        <f t="shared" si="2"/>
        <v>0.12191372275106742</v>
      </c>
      <c r="I15" s="3">
        <f t="shared" si="2"/>
        <v>0.10968321225676091</v>
      </c>
      <c r="J15" s="3">
        <f t="shared" si="2"/>
        <v>9.9852242632869626E-2</v>
      </c>
      <c r="K15" s="3">
        <f t="shared" si="2"/>
        <v>8.4565812855841707E-2</v>
      </c>
      <c r="L15" s="3">
        <f t="shared" si="2"/>
        <v>6.8781406663012593E-2</v>
      </c>
      <c r="M15" s="3">
        <f t="shared" si="2"/>
        <v>5.7911477052153597E-2</v>
      </c>
      <c r="N15" s="3">
        <f t="shared" si="2"/>
        <v>5.2467178398109125E-2</v>
      </c>
      <c r="O15" s="3">
        <f t="shared" si="2"/>
        <v>2.6928378738301041E-2</v>
      </c>
      <c r="P15" s="3">
        <f t="shared" si="2"/>
        <v>1.3645862861701301E-2</v>
      </c>
      <c r="Q15" s="3">
        <f t="shared" si="2"/>
        <v>1.094628504591086E-2</v>
      </c>
      <c r="R15" s="3">
        <f t="shared" si="2"/>
        <v>3.6753594030199807E-3</v>
      </c>
      <c r="S15" s="3">
        <f t="shared" si="2"/>
        <v>9.213609498454295E-4</v>
      </c>
    </row>
    <row r="16" spans="1:19" x14ac:dyDescent="0.2">
      <c r="A16" s="1">
        <v>200000</v>
      </c>
      <c r="B16" s="3">
        <f t="shared" si="3"/>
        <v>0.39950977711204572</v>
      </c>
      <c r="C16" s="3">
        <f t="shared" si="2"/>
        <v>0.29897534859145769</v>
      </c>
      <c r="D16" s="3">
        <f t="shared" si="2"/>
        <v>0.24067020052248567</v>
      </c>
      <c r="E16" s="3">
        <f t="shared" si="2"/>
        <v>0.20178625586709986</v>
      </c>
      <c r="F16" s="3">
        <f t="shared" si="2"/>
        <v>0.17383284270979504</v>
      </c>
      <c r="G16" s="3">
        <f t="shared" si="2"/>
        <v>0.15270034297770943</v>
      </c>
      <c r="H16" s="3">
        <f t="shared" si="2"/>
        <v>0.13619965722868246</v>
      </c>
      <c r="I16" s="3">
        <f t="shared" si="2"/>
        <v>0.12280269865205583</v>
      </c>
      <c r="J16" s="3">
        <f t="shared" si="2"/>
        <v>0.11198785016203844</v>
      </c>
      <c r="K16" s="3">
        <f t="shared" si="2"/>
        <v>9.5091622974221676E-2</v>
      </c>
      <c r="L16" s="3">
        <f t="shared" si="2"/>
        <v>7.7545778059056519E-2</v>
      </c>
      <c r="M16" s="3">
        <f t="shared" si="2"/>
        <v>6.5406042137726397E-2</v>
      </c>
      <c r="N16" s="3">
        <f t="shared" si="2"/>
        <v>5.9308772278760434E-2</v>
      </c>
      <c r="O16" s="3">
        <f t="shared" si="2"/>
        <v>3.056074954766445E-2</v>
      </c>
      <c r="P16" s="3">
        <f t="shared" si="2"/>
        <v>1.5517370578463658E-2</v>
      </c>
      <c r="Q16" s="3">
        <f t="shared" si="2"/>
        <v>1.2452503267995609E-2</v>
      </c>
      <c r="R16" s="3">
        <f t="shared" si="2"/>
        <v>4.1855315499842735E-3</v>
      </c>
      <c r="S16" s="3">
        <f t="shared" si="2"/>
        <v>1.0496716991939339E-3</v>
      </c>
    </row>
    <row r="17" spans="1:19" x14ac:dyDescent="0.2">
      <c r="A17" s="1">
        <v>250000</v>
      </c>
      <c r="B17" s="3">
        <f t="shared" si="3"/>
        <v>0.42179012424933188</v>
      </c>
      <c r="C17" s="3">
        <f t="shared" si="2"/>
        <v>0.32113603660273304</v>
      </c>
      <c r="D17" s="3">
        <f t="shared" si="2"/>
        <v>0.26097135686387385</v>
      </c>
      <c r="E17" s="3">
        <f t="shared" si="2"/>
        <v>0.22009828735447931</v>
      </c>
      <c r="F17" s="3">
        <f t="shared" si="2"/>
        <v>0.19036409635590287</v>
      </c>
      <c r="G17" s="3">
        <f t="shared" si="2"/>
        <v>0.16770179251547448</v>
      </c>
      <c r="H17" s="3">
        <f t="shared" si="2"/>
        <v>0.14990232692919486</v>
      </c>
      <c r="I17" s="3">
        <f t="shared" si="2"/>
        <v>0.13538654390185603</v>
      </c>
      <c r="J17" s="3">
        <f t="shared" si="2"/>
        <v>0.12362798625868761</v>
      </c>
      <c r="K17" s="3">
        <f t="shared" si="2"/>
        <v>0.1051876863159983</v>
      </c>
      <c r="L17" s="3">
        <f t="shared" si="2"/>
        <v>8.5952318531490379E-2</v>
      </c>
      <c r="M17" s="3">
        <f t="shared" si="2"/>
        <v>7.2594619831227142E-2</v>
      </c>
      <c r="N17" s="3">
        <f t="shared" si="2"/>
        <v>6.5871038213726599E-2</v>
      </c>
      <c r="O17" s="3">
        <f t="shared" si="2"/>
        <v>3.4044818266338768E-2</v>
      </c>
      <c r="P17" s="3">
        <f t="shared" si="2"/>
        <v>1.7312468555773994E-2</v>
      </c>
      <c r="Q17" s="3">
        <f t="shared" si="2"/>
        <v>1.3897225755450691E-2</v>
      </c>
      <c r="R17" s="3">
        <f t="shared" si="2"/>
        <v>4.6748744369481546E-3</v>
      </c>
      <c r="S17" s="3">
        <f t="shared" si="2"/>
        <v>1.1727437894448558E-3</v>
      </c>
    </row>
    <row r="18" spans="1:19" x14ac:dyDescent="0.2">
      <c r="A18" s="1">
        <v>300000</v>
      </c>
      <c r="B18" s="3">
        <f t="shared" si="3"/>
        <v>0.4431965036851393</v>
      </c>
      <c r="C18" s="3">
        <f t="shared" si="2"/>
        <v>0.34242745065498686</v>
      </c>
      <c r="D18" s="3">
        <f t="shared" si="2"/>
        <v>0.28047618113576062</v>
      </c>
      <c r="E18" s="3">
        <f t="shared" si="2"/>
        <v>0.23769201207716534</v>
      </c>
      <c r="F18" s="3">
        <f t="shared" si="2"/>
        <v>0.20624689593338122</v>
      </c>
      <c r="G18" s="3">
        <f t="shared" si="2"/>
        <v>0.18211479599849073</v>
      </c>
      <c r="H18" s="3">
        <f t="shared" si="2"/>
        <v>0.16306749644317572</v>
      </c>
      <c r="I18" s="3">
        <f t="shared" si="2"/>
        <v>0.14747677591300393</v>
      </c>
      <c r="J18" s="3">
        <f t="shared" si="2"/>
        <v>0.13481152700129653</v>
      </c>
      <c r="K18" s="3">
        <f t="shared" si="2"/>
        <v>0.11488772201877868</v>
      </c>
      <c r="L18" s="3">
        <f t="shared" si="2"/>
        <v>9.4029104498358815E-2</v>
      </c>
      <c r="M18" s="3">
        <f t="shared" si="2"/>
        <v>7.9501218761785869E-2</v>
      </c>
      <c r="N18" s="3">
        <f t="shared" si="2"/>
        <v>7.217589305718973E-2</v>
      </c>
      <c r="O18" s="3">
        <f t="shared" si="2"/>
        <v>3.7392221092372759E-2</v>
      </c>
      <c r="P18" s="3">
        <f t="shared" si="2"/>
        <v>1.9037152116132373E-2</v>
      </c>
      <c r="Q18" s="3">
        <f t="shared" si="2"/>
        <v>1.5285277636121433E-2</v>
      </c>
      <c r="R18" s="3">
        <f t="shared" si="2"/>
        <v>5.1450223860809675E-3</v>
      </c>
      <c r="S18" s="3">
        <f t="shared" si="2"/>
        <v>1.290988260486345E-3</v>
      </c>
    </row>
    <row r="19" spans="1:19" x14ac:dyDescent="0.2">
      <c r="A19" s="1">
        <v>350000</v>
      </c>
      <c r="B19" s="3">
        <f t="shared" si="3"/>
        <v>0.46379489968256277</v>
      </c>
      <c r="C19" s="3">
        <f t="shared" si="2"/>
        <v>0.36291522063536086</v>
      </c>
      <c r="D19" s="3">
        <f t="shared" si="2"/>
        <v>0.29924479613753086</v>
      </c>
      <c r="E19" s="3">
        <f t="shared" si="2"/>
        <v>0.25462166195066699</v>
      </c>
      <c r="F19" s="3">
        <f t="shared" si="2"/>
        <v>0.22153019950303354</v>
      </c>
      <c r="G19" s="3">
        <f t="shared" si="2"/>
        <v>0.19598378090300006</v>
      </c>
      <c r="H19" s="3">
        <f t="shared" si="2"/>
        <v>0.17573574685120907</v>
      </c>
      <c r="I19" s="3">
        <f t="shared" si="2"/>
        <v>0.15911066231650151</v>
      </c>
      <c r="J19" s="3">
        <f t="shared" si="2"/>
        <v>0.14557294518321665</v>
      </c>
      <c r="K19" s="3">
        <f t="shared" si="2"/>
        <v>0.12422163003410579</v>
      </c>
      <c r="L19" s="3">
        <f t="shared" si="2"/>
        <v>0.10180103231225601</v>
      </c>
      <c r="M19" s="3">
        <f t="shared" si="2"/>
        <v>8.6147128229739037E-2</v>
      </c>
      <c r="N19" s="3">
        <f t="shared" si="2"/>
        <v>7.8242771258679913E-2</v>
      </c>
      <c r="O19" s="3">
        <f t="shared" si="2"/>
        <v>4.0613276254003912E-2</v>
      </c>
      <c r="P19" s="3">
        <f t="shared" si="2"/>
        <v>2.0696737523979651E-2</v>
      </c>
      <c r="Q19" s="3">
        <f t="shared" si="2"/>
        <v>1.6620937521473079E-2</v>
      </c>
      <c r="R19" s="3">
        <f t="shared" si="2"/>
        <v>5.5974246086359335E-3</v>
      </c>
      <c r="S19" s="3">
        <f t="shared" si="2"/>
        <v>1.4047695959205967E-3</v>
      </c>
    </row>
    <row r="20" spans="1:19" x14ac:dyDescent="0.2">
      <c r="A20" s="1">
        <v>400000</v>
      </c>
      <c r="B20" s="3">
        <f t="shared" si="3"/>
        <v>0.4836440948582259</v>
      </c>
      <c r="C20" s="3">
        <f t="shared" si="2"/>
        <v>0.38265781346178285</v>
      </c>
      <c r="D20" s="3">
        <f t="shared" si="2"/>
        <v>0.31733076275326216</v>
      </c>
      <c r="E20" s="3">
        <f t="shared" si="2"/>
        <v>0.27093554991732255</v>
      </c>
      <c r="F20" s="3">
        <f t="shared" si="2"/>
        <v>0.23625762175090581</v>
      </c>
      <c r="G20" s="3">
        <f t="shared" si="2"/>
        <v>0.20934832580699958</v>
      </c>
      <c r="H20" s="3">
        <f t="shared" si="2"/>
        <v>0.18794323013848444</v>
      </c>
      <c r="I20" s="3">
        <f t="shared" si="2"/>
        <v>0.17032140328407011</v>
      </c>
      <c r="J20" s="3">
        <f t="shared" si="2"/>
        <v>0.15594295117235188</v>
      </c>
      <c r="K20" s="3">
        <f t="shared" si="2"/>
        <v>0.1332160469766234</v>
      </c>
      <c r="L20" s="3">
        <f t="shared" si="2"/>
        <v>0.109290281091069</v>
      </c>
      <c r="M20" s="3">
        <f t="shared" si="2"/>
        <v>9.2551313981177608E-2</v>
      </c>
      <c r="N20" s="3">
        <f t="shared" si="2"/>
        <v>8.4088986155384321E-2</v>
      </c>
      <c r="O20" s="3">
        <f t="shared" si="2"/>
        <v>4.3717175828649951E-2</v>
      </c>
      <c r="P20" s="3">
        <f t="shared" si="2"/>
        <v>2.2295960816665333E-2</v>
      </c>
      <c r="Q20" s="3">
        <f t="shared" si="2"/>
        <v>1.7908017047275217E-2</v>
      </c>
      <c r="R20" s="3">
        <f t="shared" si="2"/>
        <v>6.033372146226749E-3</v>
      </c>
      <c r="S20" s="3">
        <f t="shared" si="2"/>
        <v>1.5144124989245266E-3</v>
      </c>
    </row>
    <row r="21" spans="1:19" x14ac:dyDescent="0.2">
      <c r="A21" s="1">
        <v>450000</v>
      </c>
      <c r="B21" s="3">
        <f t="shared" si="3"/>
        <v>0.50279668149905465</v>
      </c>
      <c r="C21" s="3">
        <f t="shared" si="2"/>
        <v>0.40170753896834982</v>
      </c>
      <c r="D21" s="3">
        <f t="shared" si="2"/>
        <v>0.33478200143197895</v>
      </c>
      <c r="E21" s="3">
        <f t="shared" si="2"/>
        <v>0.28667690113912131</v>
      </c>
      <c r="F21" s="3">
        <f t="shared" si="2"/>
        <v>0.25046818435065721</v>
      </c>
      <c r="G21" s="3">
        <f t="shared" si="2"/>
        <v>0.2222438413139928</v>
      </c>
      <c r="H21" s="3">
        <f t="shared" si="2"/>
        <v>0.19972229116624227</v>
      </c>
      <c r="I21" s="3">
        <f t="shared" si="2"/>
        <v>0.18113870271556073</v>
      </c>
      <c r="J21" s="3">
        <f t="shared" si="2"/>
        <v>0.16594902126311017</v>
      </c>
      <c r="K21" s="3">
        <f t="shared" si="2"/>
        <v>0.14189480438974622</v>
      </c>
      <c r="L21" s="3">
        <f t="shared" si="2"/>
        <v>0.11651669429530841</v>
      </c>
      <c r="M21" s="3">
        <f t="shared" si="2"/>
        <v>9.8730744501301551E-2</v>
      </c>
      <c r="N21" s="3">
        <f t="shared" si="2"/>
        <v>8.9730027836878848E-2</v>
      </c>
      <c r="O21" s="3">
        <f t="shared" si="2"/>
        <v>4.6712143886635929E-2</v>
      </c>
      <c r="P21" s="3">
        <f t="shared" si="2"/>
        <v>2.3839059284896838E-2</v>
      </c>
      <c r="Q21" s="3">
        <f t="shared" si="2"/>
        <v>1.9149926450321778E-2</v>
      </c>
      <c r="R21" s="3">
        <f t="shared" si="2"/>
        <v>6.4540200823607723E-3</v>
      </c>
      <c r="S21" s="3">
        <f t="shared" si="2"/>
        <v>1.6202074785572269E-3</v>
      </c>
    </row>
    <row r="22" spans="1:19" x14ac:dyDescent="0.2">
      <c r="A22" s="1">
        <v>500000</v>
      </c>
      <c r="B22" s="3">
        <f t="shared" si="3"/>
        <v>0.52129990136137772</v>
      </c>
      <c r="C22" s="3">
        <f t="shared" si="2"/>
        <v>0.42011138519419083</v>
      </c>
      <c r="D22" s="3">
        <f t="shared" si="2"/>
        <v>0.35164155738635949</v>
      </c>
      <c r="E22" s="3">
        <f t="shared" si="2"/>
        <v>0.3018845432215792</v>
      </c>
      <c r="F22" s="3">
        <f t="shared" si="2"/>
        <v>0.26419693906569797</v>
      </c>
      <c r="G22" s="3">
        <f t="shared" si="2"/>
        <v>0.23470213549318397</v>
      </c>
      <c r="H22" s="3">
        <f t="shared" si="2"/>
        <v>0.21110198415787737</v>
      </c>
      <c r="I22" s="3">
        <f t="shared" si="2"/>
        <v>0.19158924255391185</v>
      </c>
      <c r="J22" s="3">
        <f t="shared" si="2"/>
        <v>0.17561583642072609</v>
      </c>
      <c r="K22" s="3">
        <f t="shared" si="2"/>
        <v>0.15027930929021999</v>
      </c>
      <c r="L22" s="3">
        <f t="shared" si="2"/>
        <v>0.12349809659054692</v>
      </c>
      <c r="M22" s="3">
        <f t="shared" si="2"/>
        <v>0.10470066196895354</v>
      </c>
      <c r="N22" s="3">
        <f t="shared" si="2"/>
        <v>9.5179810492487041E-2</v>
      </c>
      <c r="O22" s="3">
        <f t="shared" si="2"/>
        <v>4.9605567814003222E-2</v>
      </c>
      <c r="P22" s="3">
        <f t="shared" si="2"/>
        <v>2.5329839134237652E-2</v>
      </c>
      <c r="Q22" s="3">
        <f t="shared" si="2"/>
        <v>2.0349729023446304E-2</v>
      </c>
      <c r="R22" s="3">
        <f t="shared" si="2"/>
        <v>6.860405986932429E-3</v>
      </c>
      <c r="S22" s="3">
        <f t="shared" si="2"/>
        <v>1.7224154886387899E-3</v>
      </c>
    </row>
    <row r="23" spans="1:19" x14ac:dyDescent="0.2">
      <c r="C23" s="2"/>
      <c r="D23" s="2"/>
      <c r="E23" s="2"/>
    </row>
    <row r="24" spans="1:19" x14ac:dyDescent="0.2">
      <c r="C24" s="2"/>
      <c r="D24" s="2"/>
      <c r="E24" s="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workbookViewId="0">
      <selection activeCell="B2" sqref="B2"/>
    </sheetView>
  </sheetViews>
  <sheetFormatPr defaultRowHeight="14.25" x14ac:dyDescent="0.2"/>
  <cols>
    <col min="1" max="1" width="4.125" style="1" bestFit="1" customWidth="1"/>
    <col min="2" max="2" width="11.25" style="1" bestFit="1" customWidth="1"/>
    <col min="3" max="16384" width="9" style="1"/>
  </cols>
  <sheetData>
    <row r="1" spans="1:2" x14ac:dyDescent="0.2">
      <c r="B1" s="1">
        <v>0.6</v>
      </c>
    </row>
    <row r="2" spans="1:2" x14ac:dyDescent="0.2">
      <c r="A2" s="1">
        <v>0.1</v>
      </c>
      <c r="B2" s="1">
        <f>POWER(A2,B$1)</f>
        <v>0.25118864315095807</v>
      </c>
    </row>
    <row r="3" spans="1:2" x14ac:dyDescent="0.2">
      <c r="A3" s="1">
        <v>0.2</v>
      </c>
      <c r="B3" s="1">
        <f t="shared" ref="B3:B21" si="0">POWER(A3,B$1)</f>
        <v>0.38073078774317576</v>
      </c>
    </row>
    <row r="4" spans="1:2" x14ac:dyDescent="0.2">
      <c r="A4" s="1">
        <v>0.3</v>
      </c>
      <c r="B4" s="1">
        <f t="shared" si="0"/>
        <v>0.48559337483020382</v>
      </c>
    </row>
    <row r="5" spans="1:2" x14ac:dyDescent="0.2">
      <c r="A5" s="1">
        <v>0.4</v>
      </c>
      <c r="B5" s="1">
        <f t="shared" si="0"/>
        <v>0.5770799623628855</v>
      </c>
    </row>
    <row r="6" spans="1:2" x14ac:dyDescent="0.2">
      <c r="A6" s="1">
        <v>0.5</v>
      </c>
      <c r="B6" s="1">
        <f t="shared" si="0"/>
        <v>0.6597539553864471</v>
      </c>
    </row>
    <row r="7" spans="1:2" x14ac:dyDescent="0.2">
      <c r="A7" s="1">
        <v>0.6</v>
      </c>
      <c r="B7" s="1">
        <f t="shared" si="0"/>
        <v>0.7360219228178333</v>
      </c>
    </row>
    <row r="8" spans="1:2" x14ac:dyDescent="0.2">
      <c r="A8" s="1">
        <v>0.7</v>
      </c>
      <c r="B8" s="1">
        <f t="shared" si="0"/>
        <v>0.8073443754472972</v>
      </c>
    </row>
    <row r="9" spans="1:2" x14ac:dyDescent="0.2">
      <c r="A9" s="1">
        <v>0.8</v>
      </c>
      <c r="B9" s="1">
        <f t="shared" si="0"/>
        <v>0.87468965915462249</v>
      </c>
    </row>
    <row r="10" spans="1:2" x14ac:dyDescent="0.2">
      <c r="A10" s="1">
        <v>0.9</v>
      </c>
      <c r="B10" s="1">
        <f t="shared" si="0"/>
        <v>0.93874039335956938</v>
      </c>
    </row>
    <row r="11" spans="1:2" x14ac:dyDescent="0.2">
      <c r="A11" s="1">
        <v>1</v>
      </c>
      <c r="B11" s="1">
        <f t="shared" si="0"/>
        <v>1</v>
      </c>
    </row>
    <row r="12" spans="1:2" x14ac:dyDescent="0.2">
      <c r="A12" s="1">
        <v>1.1000000000000001</v>
      </c>
      <c r="B12" s="1">
        <f t="shared" si="0"/>
        <v>1.0588528529217847</v>
      </c>
    </row>
    <row r="13" spans="1:2" x14ac:dyDescent="0.2">
      <c r="A13" s="1">
        <v>1.2</v>
      </c>
      <c r="B13" s="1">
        <f t="shared" si="0"/>
        <v>1.1156006217298275</v>
      </c>
    </row>
    <row r="14" spans="1:2" x14ac:dyDescent="0.2">
      <c r="A14" s="1">
        <v>1.3</v>
      </c>
      <c r="B14" s="1">
        <f t="shared" si="0"/>
        <v>1.1704854282221195</v>
      </c>
    </row>
    <row r="15" spans="1:2" x14ac:dyDescent="0.2">
      <c r="A15" s="1">
        <v>1.4</v>
      </c>
      <c r="B15" s="1">
        <f t="shared" si="0"/>
        <v>1.223705244744459</v>
      </c>
    </row>
    <row r="16" spans="1:2" x14ac:dyDescent="0.2">
      <c r="A16" s="1">
        <v>1.5</v>
      </c>
      <c r="B16" s="1">
        <f t="shared" si="0"/>
        <v>1.2754245006257907</v>
      </c>
    </row>
    <row r="17" spans="1:2" x14ac:dyDescent="0.2">
      <c r="A17" s="1">
        <v>1.6</v>
      </c>
      <c r="B17" s="1">
        <f t="shared" si="0"/>
        <v>1.3257816069359949</v>
      </c>
    </row>
    <row r="18" spans="1:2" x14ac:dyDescent="0.2">
      <c r="A18" s="1">
        <v>1.7</v>
      </c>
      <c r="B18" s="1">
        <f t="shared" si="0"/>
        <v>1.3748944308911808</v>
      </c>
    </row>
    <row r="19" spans="1:2" x14ac:dyDescent="0.2">
      <c r="A19" s="1">
        <v>1.8</v>
      </c>
      <c r="B19" s="1">
        <f t="shared" si="0"/>
        <v>1.422864365867587</v>
      </c>
    </row>
    <row r="20" spans="1:2" x14ac:dyDescent="0.2">
      <c r="A20" s="1">
        <v>1.9</v>
      </c>
      <c r="B20" s="1">
        <f t="shared" si="0"/>
        <v>1.4697794149937133</v>
      </c>
    </row>
    <row r="21" spans="1:2" x14ac:dyDescent="0.2">
      <c r="A21" s="1">
        <v>2</v>
      </c>
      <c r="B21" s="1">
        <f t="shared" si="0"/>
        <v>1.515716566510398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9"/>
  <sheetViews>
    <sheetView workbookViewId="0">
      <selection activeCell="B2" sqref="B2"/>
    </sheetView>
  </sheetViews>
  <sheetFormatPr defaultRowHeight="14.25" x14ac:dyDescent="0.2"/>
  <cols>
    <col min="1" max="1" width="5" style="1" bestFit="1" customWidth="1"/>
    <col min="2" max="2" width="11.25" style="1" bestFit="1" customWidth="1"/>
    <col min="3" max="3" width="5.5" style="1" bestFit="1" customWidth="1"/>
    <col min="4" max="16384" width="9" style="1"/>
  </cols>
  <sheetData>
    <row r="1" spans="1:3" x14ac:dyDescent="0.2">
      <c r="B1" s="1">
        <v>0.99960000000000004</v>
      </c>
    </row>
    <row r="2" spans="1:3" x14ac:dyDescent="0.2">
      <c r="A2" s="1">
        <v>3000</v>
      </c>
      <c r="B2" s="1">
        <f t="shared" ref="B2:B19" si="0">POWER(B$1,$A2)</f>
        <v>0.30112191469752464</v>
      </c>
      <c r="C2" s="3">
        <f t="shared" ref="C2:C19" si="1">B2</f>
        <v>0.30112191469752464</v>
      </c>
    </row>
    <row r="3" spans="1:3" x14ac:dyDescent="0.2">
      <c r="A3" s="1">
        <v>2000</v>
      </c>
      <c r="B3" s="1">
        <f t="shared" si="0"/>
        <v>0.44925705806008115</v>
      </c>
      <c r="C3" s="3">
        <f t="shared" si="1"/>
        <v>0.44925705806008115</v>
      </c>
    </row>
    <row r="4" spans="1:3" x14ac:dyDescent="0.2">
      <c r="A4" s="1">
        <v>1500</v>
      </c>
      <c r="B4" s="1">
        <f t="shared" si="0"/>
        <v>0.54874576508390893</v>
      </c>
      <c r="C4" s="3">
        <f t="shared" si="1"/>
        <v>0.54874576508390893</v>
      </c>
    </row>
    <row r="5" spans="1:3" x14ac:dyDescent="0.2">
      <c r="A5" s="1">
        <v>1200</v>
      </c>
      <c r="B5" s="1">
        <f t="shared" si="0"/>
        <v>0.61872397560775916</v>
      </c>
      <c r="C5" s="3">
        <f t="shared" si="1"/>
        <v>0.61872397560775916</v>
      </c>
    </row>
    <row r="6" spans="1:3" x14ac:dyDescent="0.2">
      <c r="A6" s="1">
        <v>1000</v>
      </c>
      <c r="B6" s="1">
        <f t="shared" si="0"/>
        <v>0.67026640827366646</v>
      </c>
      <c r="C6" s="3">
        <f t="shared" si="1"/>
        <v>0.67026640827366646</v>
      </c>
    </row>
    <row r="7" spans="1:3" x14ac:dyDescent="0.2">
      <c r="A7" s="1">
        <v>857</v>
      </c>
      <c r="B7" s="1">
        <f t="shared" si="0"/>
        <v>0.70973147955739557</v>
      </c>
      <c r="C7" s="3">
        <f t="shared" si="1"/>
        <v>0.70973147955739557</v>
      </c>
    </row>
    <row r="8" spans="1:3" x14ac:dyDescent="0.2">
      <c r="A8" s="1">
        <v>750</v>
      </c>
      <c r="B8" s="1">
        <f t="shared" si="0"/>
        <v>0.74077376106602821</v>
      </c>
      <c r="C8" s="3">
        <f t="shared" si="1"/>
        <v>0.74077376106602821</v>
      </c>
    </row>
    <row r="9" spans="1:3" x14ac:dyDescent="0.2">
      <c r="A9" s="1">
        <v>666</v>
      </c>
      <c r="B9" s="1">
        <f t="shared" si="0"/>
        <v>0.76609178381089893</v>
      </c>
      <c r="C9" s="3">
        <f t="shared" si="1"/>
        <v>0.76609178381089893</v>
      </c>
    </row>
    <row r="10" spans="1:3" x14ac:dyDescent="0.2">
      <c r="A10" s="1">
        <v>600</v>
      </c>
      <c r="B10" s="1">
        <f t="shared" si="0"/>
        <v>0.78659009376406419</v>
      </c>
      <c r="C10" s="3">
        <f t="shared" si="1"/>
        <v>0.78659009376406419</v>
      </c>
    </row>
    <row r="11" spans="1:3" x14ac:dyDescent="0.2">
      <c r="A11" s="1">
        <v>500</v>
      </c>
      <c r="B11" s="1">
        <f t="shared" si="0"/>
        <v>0.81869799576746638</v>
      </c>
      <c r="C11" s="3">
        <f t="shared" si="1"/>
        <v>0.81869799576746638</v>
      </c>
    </row>
    <row r="12" spans="1:3" x14ac:dyDescent="0.2">
      <c r="A12" s="1">
        <v>400</v>
      </c>
      <c r="B12" s="1">
        <f t="shared" si="0"/>
        <v>0.8521165135277069</v>
      </c>
      <c r="C12" s="3">
        <f t="shared" si="1"/>
        <v>0.8521165135277069</v>
      </c>
    </row>
    <row r="13" spans="1:3" x14ac:dyDescent="0.2">
      <c r="A13" s="1">
        <v>333</v>
      </c>
      <c r="B13" s="1">
        <f t="shared" si="0"/>
        <v>0.87526669296329263</v>
      </c>
      <c r="C13" s="3">
        <f t="shared" si="1"/>
        <v>0.87526669296329263</v>
      </c>
    </row>
    <row r="14" spans="1:3" x14ac:dyDescent="0.2">
      <c r="A14" s="1">
        <v>300</v>
      </c>
      <c r="B14" s="1">
        <f t="shared" si="0"/>
        <v>0.8868991452042696</v>
      </c>
      <c r="C14" s="3">
        <f t="shared" si="1"/>
        <v>0.8868991452042696</v>
      </c>
    </row>
    <row r="15" spans="1:3" x14ac:dyDescent="0.2">
      <c r="A15" s="1">
        <v>150</v>
      </c>
      <c r="B15" s="1">
        <f t="shared" si="0"/>
        <v>0.94175322946314854</v>
      </c>
      <c r="C15" s="3">
        <f t="shared" si="1"/>
        <v>0.94175322946314854</v>
      </c>
    </row>
    <row r="16" spans="1:3" x14ac:dyDescent="0.2">
      <c r="A16" s="1">
        <v>75</v>
      </c>
      <c r="B16" s="1">
        <f t="shared" si="0"/>
        <v>0.97043970933961077</v>
      </c>
      <c r="C16" s="3">
        <f t="shared" si="1"/>
        <v>0.97043970933961077</v>
      </c>
    </row>
    <row r="17" spans="1:3" x14ac:dyDescent="0.2">
      <c r="A17" s="1">
        <v>60</v>
      </c>
      <c r="B17" s="1">
        <f t="shared" si="0"/>
        <v>0.97628102234773895</v>
      </c>
      <c r="C17" s="3">
        <f t="shared" si="1"/>
        <v>0.97628102234773895</v>
      </c>
    </row>
    <row r="18" spans="1:3" x14ac:dyDescent="0.2">
      <c r="A18" s="1">
        <v>20</v>
      </c>
      <c r="B18" s="1">
        <f t="shared" si="0"/>
        <v>0.99203032716387485</v>
      </c>
      <c r="C18" s="3">
        <f t="shared" si="1"/>
        <v>0.99203032716387485</v>
      </c>
    </row>
    <row r="19" spans="1:3" x14ac:dyDescent="0.2">
      <c r="A19" s="1">
        <v>5</v>
      </c>
      <c r="B19" s="1">
        <f t="shared" si="0"/>
        <v>0.99800159936012833</v>
      </c>
      <c r="C19" s="3">
        <f t="shared" si="1"/>
        <v>0.99800159936012833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41"/>
  <sheetViews>
    <sheetView workbookViewId="0">
      <selection activeCell="K27" sqref="K27"/>
    </sheetView>
  </sheetViews>
  <sheetFormatPr defaultRowHeight="14.25" x14ac:dyDescent="0.2"/>
  <cols>
    <col min="1" max="1" width="4.125" style="1" bestFit="1" customWidth="1"/>
    <col min="2" max="2" width="11.25" style="1" bestFit="1" customWidth="1"/>
    <col min="3" max="3" width="5.875" style="1" bestFit="1" customWidth="1"/>
    <col min="4" max="16384" width="9" style="1"/>
  </cols>
  <sheetData>
    <row r="1" spans="1:3" x14ac:dyDescent="0.2">
      <c r="B1" s="1">
        <v>1.18</v>
      </c>
      <c r="C1" s="1">
        <v>3.8</v>
      </c>
    </row>
    <row r="2" spans="1:3" x14ac:dyDescent="0.2">
      <c r="A2" s="1">
        <v>1.1000000000000001</v>
      </c>
      <c r="B2" s="1">
        <f t="shared" ref="B2:B41" si="0">LOG($A2,B$1)</f>
        <v>0.57584208774172385</v>
      </c>
      <c r="C2" s="1">
        <f>($A2-1)*C$1</f>
        <v>0.38000000000000034</v>
      </c>
    </row>
    <row r="3" spans="1:3" x14ac:dyDescent="0.2">
      <c r="A3" s="1">
        <v>1.2</v>
      </c>
      <c r="B3" s="1">
        <f>LOG($A3,B$1)</f>
        <v>1.1015447260733</v>
      </c>
      <c r="C3" s="1">
        <f t="shared" ref="C3:C41" si="1">($A3-1)*C$1</f>
        <v>0.75999999999999979</v>
      </c>
    </row>
    <row r="4" spans="1:3" x14ac:dyDescent="0.2">
      <c r="A4" s="1">
        <v>1.3</v>
      </c>
      <c r="B4" s="1">
        <f t="shared" si="0"/>
        <v>1.5851442743047495</v>
      </c>
      <c r="C4" s="1">
        <f t="shared" si="1"/>
        <v>1.1400000000000001</v>
      </c>
    </row>
    <row r="5" spans="1:3" x14ac:dyDescent="0.2">
      <c r="A5" s="1">
        <v>1.4</v>
      </c>
      <c r="B5" s="1">
        <f t="shared" si="0"/>
        <v>2.032887521572952</v>
      </c>
      <c r="C5" s="1">
        <f t="shared" si="1"/>
        <v>1.5199999999999996</v>
      </c>
    </row>
    <row r="6" spans="1:3" x14ac:dyDescent="0.2">
      <c r="A6" s="1">
        <v>1.5</v>
      </c>
      <c r="B6" s="1">
        <f t="shared" si="0"/>
        <v>2.4497265123072851</v>
      </c>
      <c r="C6" s="1">
        <f t="shared" si="1"/>
        <v>1.9</v>
      </c>
    </row>
    <row r="7" spans="1:3" x14ac:dyDescent="0.2">
      <c r="A7" s="1">
        <v>1.6</v>
      </c>
      <c r="B7" s="1">
        <f t="shared" si="0"/>
        <v>2.8396533472783378</v>
      </c>
      <c r="C7" s="1">
        <f t="shared" si="1"/>
        <v>2.2800000000000002</v>
      </c>
    </row>
    <row r="8" spans="1:3" x14ac:dyDescent="0.2">
      <c r="A8" s="1">
        <v>1.7</v>
      </c>
      <c r="B8" s="1">
        <f t="shared" si="0"/>
        <v>3.2059333067433196</v>
      </c>
      <c r="C8" s="1">
        <f t="shared" si="1"/>
        <v>2.6599999999999997</v>
      </c>
    </row>
    <row r="9" spans="1:3" x14ac:dyDescent="0.2">
      <c r="A9" s="1">
        <v>1.8</v>
      </c>
      <c r="B9" s="1">
        <f t="shared" si="0"/>
        <v>3.5512712383805853</v>
      </c>
      <c r="C9" s="1">
        <f t="shared" si="1"/>
        <v>3.04</v>
      </c>
    </row>
    <row r="10" spans="1:3" x14ac:dyDescent="0.2">
      <c r="A10" s="1">
        <v>1.9</v>
      </c>
      <c r="B10" s="1">
        <f t="shared" si="0"/>
        <v>3.877932898641733</v>
      </c>
      <c r="C10" s="1">
        <f t="shared" si="1"/>
        <v>3.4199999999999995</v>
      </c>
    </row>
    <row r="11" spans="1:3" x14ac:dyDescent="0.2">
      <c r="A11" s="1">
        <v>2</v>
      </c>
      <c r="B11" s="1">
        <f t="shared" si="0"/>
        <v>4.1878351335123218</v>
      </c>
      <c r="C11" s="1">
        <f t="shared" si="1"/>
        <v>3.8</v>
      </c>
    </row>
    <row r="12" spans="1:3" x14ac:dyDescent="0.2">
      <c r="A12" s="1">
        <v>2.1</v>
      </c>
      <c r="B12" s="1">
        <f t="shared" si="0"/>
        <v>4.4826140338802372</v>
      </c>
      <c r="C12" s="1">
        <f t="shared" si="1"/>
        <v>4.18</v>
      </c>
    </row>
    <row r="13" spans="1:3" x14ac:dyDescent="0.2">
      <c r="A13" s="1">
        <v>2.2000000000000002</v>
      </c>
      <c r="B13" s="1">
        <f t="shared" si="0"/>
        <v>4.7636772212540457</v>
      </c>
      <c r="C13" s="1">
        <f t="shared" si="1"/>
        <v>4.5600000000000005</v>
      </c>
    </row>
    <row r="14" spans="1:3" x14ac:dyDescent="0.2">
      <c r="A14" s="1">
        <v>2.2999999999999998</v>
      </c>
      <c r="B14" s="1">
        <f t="shared" si="0"/>
        <v>5.03224450142433</v>
      </c>
      <c r="C14" s="1">
        <f t="shared" si="1"/>
        <v>4.9399999999999995</v>
      </c>
    </row>
    <row r="15" spans="1:3" x14ac:dyDescent="0.2">
      <c r="A15" s="1">
        <v>2.4</v>
      </c>
      <c r="B15" s="1">
        <f t="shared" si="0"/>
        <v>5.2893798595856216</v>
      </c>
      <c r="C15" s="1">
        <f t="shared" si="1"/>
        <v>5.3199999999999994</v>
      </c>
    </row>
    <row r="16" spans="1:3" x14ac:dyDescent="0.2">
      <c r="A16" s="1">
        <v>2.5</v>
      </c>
      <c r="B16" s="1">
        <f t="shared" si="0"/>
        <v>5.5360169197463067</v>
      </c>
      <c r="C16" s="1">
        <f t="shared" si="1"/>
        <v>5.6999999999999993</v>
      </c>
    </row>
    <row r="17" spans="1:3" x14ac:dyDescent="0.2">
      <c r="A17" s="1">
        <v>2.6</v>
      </c>
      <c r="B17" s="1">
        <f t="shared" si="0"/>
        <v>5.7729794078170711</v>
      </c>
      <c r="C17" s="1">
        <f t="shared" si="1"/>
        <v>6.08</v>
      </c>
    </row>
    <row r="18" spans="1:3" x14ac:dyDescent="0.2">
      <c r="A18" s="1">
        <v>2.7</v>
      </c>
      <c r="B18" s="1">
        <f t="shared" si="0"/>
        <v>6.00099775068787</v>
      </c>
      <c r="C18" s="1">
        <f t="shared" si="1"/>
        <v>6.46</v>
      </c>
    </row>
    <row r="19" spans="1:3" x14ac:dyDescent="0.2">
      <c r="A19" s="1">
        <v>2.8</v>
      </c>
      <c r="B19" s="1">
        <f t="shared" si="0"/>
        <v>6.2207226550852734</v>
      </c>
      <c r="C19" s="1">
        <f t="shared" si="1"/>
        <v>6.839999999999999</v>
      </c>
    </row>
    <row r="20" spans="1:3" x14ac:dyDescent="0.2">
      <c r="A20" s="1">
        <v>2.9</v>
      </c>
      <c r="B20" s="1">
        <f t="shared" si="0"/>
        <v>6.4327363025594479</v>
      </c>
      <c r="C20" s="1">
        <f t="shared" si="1"/>
        <v>7.22</v>
      </c>
    </row>
    <row r="21" spans="1:3" x14ac:dyDescent="0.2">
      <c r="A21" s="1">
        <v>3</v>
      </c>
      <c r="B21" s="1">
        <f t="shared" si="0"/>
        <v>6.6375616458196074</v>
      </c>
      <c r="C21" s="1">
        <f t="shared" si="1"/>
        <v>7.6</v>
      </c>
    </row>
    <row r="22" spans="1:3" x14ac:dyDescent="0.2">
      <c r="A22" s="1">
        <v>3.1</v>
      </c>
      <c r="B22" s="1">
        <f t="shared" si="0"/>
        <v>6.835670180184322</v>
      </c>
      <c r="C22" s="1">
        <f t="shared" si="1"/>
        <v>7.9799999999999995</v>
      </c>
    </row>
    <row r="23" spans="1:3" x14ac:dyDescent="0.2">
      <c r="A23" s="1">
        <v>3.2</v>
      </c>
      <c r="B23" s="1">
        <f t="shared" si="0"/>
        <v>7.0274884807906597</v>
      </c>
      <c r="C23" s="1">
        <f t="shared" si="1"/>
        <v>8.36</v>
      </c>
    </row>
    <row r="24" spans="1:3" x14ac:dyDescent="0.2">
      <c r="A24" s="1">
        <v>3.3</v>
      </c>
      <c r="B24" s="1">
        <f t="shared" si="0"/>
        <v>7.2134037335613304</v>
      </c>
      <c r="C24" s="1">
        <f t="shared" si="1"/>
        <v>8.7399999999999984</v>
      </c>
    </row>
    <row r="25" spans="1:3" x14ac:dyDescent="0.2">
      <c r="A25" s="1">
        <v>3.4</v>
      </c>
      <c r="B25" s="1">
        <f t="shared" si="0"/>
        <v>7.3937684402556414</v>
      </c>
      <c r="C25" s="1">
        <f t="shared" si="1"/>
        <v>9.1199999999999992</v>
      </c>
    </row>
    <row r="26" spans="1:3" x14ac:dyDescent="0.2">
      <c r="A26" s="1">
        <v>3.5</v>
      </c>
      <c r="B26" s="1">
        <f t="shared" si="0"/>
        <v>7.5689044413192592</v>
      </c>
      <c r="C26" s="1">
        <f t="shared" si="1"/>
        <v>9.5</v>
      </c>
    </row>
    <row r="27" spans="1:3" x14ac:dyDescent="0.2">
      <c r="A27" s="1">
        <v>3.6</v>
      </c>
      <c r="B27" s="1">
        <f t="shared" si="0"/>
        <v>7.7391063718929063</v>
      </c>
      <c r="C27" s="1">
        <f t="shared" si="1"/>
        <v>9.879999999999999</v>
      </c>
    </row>
    <row r="28" spans="1:3" x14ac:dyDescent="0.2">
      <c r="A28" s="1">
        <v>3.7</v>
      </c>
      <c r="B28" s="1">
        <f t="shared" si="0"/>
        <v>7.9046446442039784</v>
      </c>
      <c r="C28" s="1">
        <f t="shared" si="1"/>
        <v>10.26</v>
      </c>
    </row>
    <row r="29" spans="1:3" x14ac:dyDescent="0.2">
      <c r="A29" s="1">
        <v>3.8</v>
      </c>
      <c r="B29" s="1">
        <f t="shared" si="0"/>
        <v>8.0657680321540539</v>
      </c>
      <c r="C29" s="1">
        <f t="shared" si="1"/>
        <v>10.639999999999999</v>
      </c>
    </row>
    <row r="30" spans="1:3" x14ac:dyDescent="0.2">
      <c r="A30" s="1">
        <v>3.9</v>
      </c>
      <c r="B30" s="1">
        <f t="shared" si="0"/>
        <v>8.2227059201243549</v>
      </c>
      <c r="C30" s="1">
        <f t="shared" si="1"/>
        <v>11.02</v>
      </c>
    </row>
    <row r="31" spans="1:3" x14ac:dyDescent="0.2">
      <c r="A31" s="1">
        <v>4</v>
      </c>
      <c r="B31" s="1">
        <f t="shared" si="0"/>
        <v>8.3756702670246437</v>
      </c>
      <c r="C31" s="1">
        <f t="shared" si="1"/>
        <v>11.399999999999999</v>
      </c>
    </row>
    <row r="32" spans="1:3" x14ac:dyDescent="0.2">
      <c r="A32" s="1">
        <v>4.0999999999999996</v>
      </c>
      <c r="B32" s="1">
        <f t="shared" si="0"/>
        <v>8.5248573277880304</v>
      </c>
      <c r="C32" s="1">
        <f t="shared" si="1"/>
        <v>11.779999999999998</v>
      </c>
    </row>
    <row r="33" spans="1:3" x14ac:dyDescent="0.2">
      <c r="A33" s="1">
        <v>4.2</v>
      </c>
      <c r="B33" s="1">
        <f t="shared" si="0"/>
        <v>8.6704491673925599</v>
      </c>
      <c r="C33" s="1">
        <f t="shared" si="1"/>
        <v>12.16</v>
      </c>
    </row>
    <row r="34" spans="1:3" x14ac:dyDescent="0.2">
      <c r="A34" s="1">
        <v>4.3</v>
      </c>
      <c r="B34" s="1">
        <f t="shared" si="0"/>
        <v>8.8126149967101171</v>
      </c>
      <c r="C34" s="1">
        <f t="shared" si="1"/>
        <v>12.54</v>
      </c>
    </row>
    <row r="35" spans="1:3" x14ac:dyDescent="0.2">
      <c r="A35" s="1">
        <v>4.4000000000000004</v>
      </c>
      <c r="B35" s="1">
        <f t="shared" si="0"/>
        <v>8.9515123547663684</v>
      </c>
      <c r="C35" s="1">
        <f t="shared" si="1"/>
        <v>12.92</v>
      </c>
    </row>
    <row r="36" spans="1:3" x14ac:dyDescent="0.2">
      <c r="A36" s="1">
        <v>4.5</v>
      </c>
      <c r="B36" s="1">
        <f t="shared" si="0"/>
        <v>9.0872881581268921</v>
      </c>
      <c r="C36" s="1">
        <f t="shared" si="1"/>
        <v>13.299999999999999</v>
      </c>
    </row>
    <row r="37" spans="1:3" x14ac:dyDescent="0.2">
      <c r="A37" s="1">
        <v>4.5999999999999996</v>
      </c>
      <c r="B37" s="1">
        <f t="shared" si="0"/>
        <v>9.2200796349366509</v>
      </c>
      <c r="C37" s="1">
        <f t="shared" si="1"/>
        <v>13.679999999999998</v>
      </c>
    </row>
    <row r="38" spans="1:3" x14ac:dyDescent="0.2">
      <c r="A38" s="1">
        <v>4.7</v>
      </c>
      <c r="B38" s="1">
        <f t="shared" si="0"/>
        <v>9.3500151585005238</v>
      </c>
      <c r="C38" s="1">
        <f t="shared" si="1"/>
        <v>14.06</v>
      </c>
    </row>
    <row r="39" spans="1:3" x14ac:dyDescent="0.2">
      <c r="A39" s="1">
        <v>4.8</v>
      </c>
      <c r="B39" s="1">
        <f t="shared" si="0"/>
        <v>9.4772149930979452</v>
      </c>
      <c r="C39" s="1">
        <f t="shared" si="1"/>
        <v>14.44</v>
      </c>
    </row>
    <row r="40" spans="1:3" x14ac:dyDescent="0.2">
      <c r="A40" s="1">
        <v>4.9000000000000004</v>
      </c>
      <c r="B40" s="1">
        <f t="shared" si="0"/>
        <v>9.6017919628922108</v>
      </c>
      <c r="C40" s="1">
        <f t="shared" si="1"/>
        <v>14.82</v>
      </c>
    </row>
    <row r="41" spans="1:3" x14ac:dyDescent="0.2">
      <c r="A41" s="1">
        <v>5</v>
      </c>
      <c r="B41" s="1">
        <f t="shared" si="0"/>
        <v>9.7238520532586286</v>
      </c>
      <c r="C41" s="1">
        <f t="shared" si="1"/>
        <v>15.2</v>
      </c>
    </row>
  </sheetData>
  <phoneticPr fontId="1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499984740745262"/>
  </sheetPr>
  <dimension ref="A1:L22"/>
  <sheetViews>
    <sheetView tabSelected="1" workbookViewId="0">
      <selection activeCell="I1" sqref="E1:I1048576"/>
    </sheetView>
  </sheetViews>
  <sheetFormatPr defaultRowHeight="14.25" x14ac:dyDescent="0.2"/>
  <cols>
    <col min="1" max="1" width="5" style="1" bestFit="1" customWidth="1"/>
    <col min="2" max="2" width="4.125" style="1" bestFit="1" customWidth="1"/>
    <col min="3" max="3" width="5.875" style="1" bestFit="1" customWidth="1"/>
    <col min="4" max="4" width="5.375" style="1" bestFit="1" customWidth="1"/>
    <col min="13" max="16384" width="9" style="1"/>
  </cols>
  <sheetData>
    <row r="1" spans="1:2" x14ac:dyDescent="0.2">
      <c r="A1" s="1">
        <v>3000</v>
      </c>
      <c r="B1" s="2">
        <v>2</v>
      </c>
    </row>
    <row r="2" spans="1:2" x14ac:dyDescent="0.2">
      <c r="A2" s="1">
        <v>3000</v>
      </c>
      <c r="B2" s="2">
        <v>2</v>
      </c>
    </row>
    <row r="3" spans="1:2" x14ac:dyDescent="0.2">
      <c r="A3" s="1">
        <v>2000</v>
      </c>
      <c r="B3" s="2">
        <v>3</v>
      </c>
    </row>
    <row r="4" spans="1:2" x14ac:dyDescent="0.2">
      <c r="A4" s="1">
        <v>1500</v>
      </c>
      <c r="B4" s="2">
        <v>4</v>
      </c>
    </row>
    <row r="5" spans="1:2" x14ac:dyDescent="0.2">
      <c r="A5" s="1">
        <v>1200</v>
      </c>
      <c r="B5" s="2">
        <v>5</v>
      </c>
    </row>
    <row r="6" spans="1:2" x14ac:dyDescent="0.2">
      <c r="A6" s="1">
        <v>1000</v>
      </c>
      <c r="B6" s="2">
        <v>6</v>
      </c>
    </row>
    <row r="7" spans="1:2" x14ac:dyDescent="0.2">
      <c r="A7" s="1">
        <v>857</v>
      </c>
      <c r="B7" s="2">
        <v>7</v>
      </c>
    </row>
    <row r="8" spans="1:2" x14ac:dyDescent="0.2">
      <c r="A8" s="1">
        <v>750</v>
      </c>
      <c r="B8" s="2">
        <v>8</v>
      </c>
    </row>
    <row r="9" spans="1:2" x14ac:dyDescent="0.2">
      <c r="A9" s="1">
        <v>666</v>
      </c>
      <c r="B9" s="2">
        <v>9</v>
      </c>
    </row>
    <row r="10" spans="1:2" x14ac:dyDescent="0.2">
      <c r="A10" s="1">
        <v>666</v>
      </c>
      <c r="B10" s="2">
        <v>9</v>
      </c>
    </row>
    <row r="11" spans="1:2" x14ac:dyDescent="0.2">
      <c r="A11" s="1">
        <v>600</v>
      </c>
      <c r="B11" s="2">
        <v>10</v>
      </c>
    </row>
    <row r="12" spans="1:2" x14ac:dyDescent="0.2">
      <c r="A12" s="1">
        <v>500</v>
      </c>
      <c r="B12" s="2">
        <v>12</v>
      </c>
    </row>
    <row r="13" spans="1:2" x14ac:dyDescent="0.2">
      <c r="A13" s="1">
        <v>400</v>
      </c>
      <c r="B13" s="2">
        <v>15</v>
      </c>
    </row>
    <row r="14" spans="1:2" x14ac:dyDescent="0.2">
      <c r="A14" s="1">
        <v>333</v>
      </c>
      <c r="B14" s="2">
        <v>18</v>
      </c>
    </row>
    <row r="15" spans="1:2" x14ac:dyDescent="0.2">
      <c r="A15" s="1">
        <v>300</v>
      </c>
      <c r="B15" s="2">
        <v>20</v>
      </c>
    </row>
    <row r="16" spans="1:2" x14ac:dyDescent="0.2">
      <c r="A16" s="1">
        <v>150</v>
      </c>
      <c r="B16" s="2">
        <v>40</v>
      </c>
    </row>
    <row r="17" spans="1:2" x14ac:dyDescent="0.2">
      <c r="A17" s="1">
        <v>75</v>
      </c>
      <c r="B17" s="2">
        <v>80</v>
      </c>
    </row>
    <row r="18" spans="1:2" x14ac:dyDescent="0.2">
      <c r="A18" s="1">
        <v>60</v>
      </c>
      <c r="B18" s="2">
        <v>100</v>
      </c>
    </row>
    <row r="19" spans="1:2" x14ac:dyDescent="0.2">
      <c r="A19" s="1">
        <v>20</v>
      </c>
      <c r="B19" s="2">
        <v>250</v>
      </c>
    </row>
    <row r="20" spans="1:2" x14ac:dyDescent="0.2">
      <c r="A20" s="1">
        <v>5</v>
      </c>
      <c r="B20" s="2">
        <v>300</v>
      </c>
    </row>
    <row r="21" spans="1:2" x14ac:dyDescent="0.2">
      <c r="B21" s="2"/>
    </row>
    <row r="22" spans="1:2" x14ac:dyDescent="0.2">
      <c r="B22" s="2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Change</vt:lpstr>
      <vt:lpstr>C</vt:lpstr>
      <vt:lpstr>A</vt:lpstr>
      <vt:lpstr>B</vt:lpstr>
      <vt:lpstr>PersonConctrol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2016-05-31T10:37:10Z</dcterms:modified>
</cp:coreProperties>
</file>